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oep-my.sharepoint.com/personal/skanan1997_sioep_onmicrosoft_com/Documents/"/>
    </mc:Choice>
  </mc:AlternateContent>
  <xr:revisionPtr revIDLastSave="4" documentId="8_{48578955-0BE5-8942-90E5-4AB0505CE87F}" xr6:coauthVersionLast="47" xr6:coauthVersionMax="47" xr10:uidLastSave="{F7C58391-F581-8C41-9A6B-1A988CED6515}"/>
  <bookViews>
    <workbookView xWindow="0" yWindow="500" windowWidth="28800" windowHeight="16400" activeTab="2" xr2:uid="{E39F1B53-3127-4D6C-88BD-079CCE5E8692}"/>
  </bookViews>
  <sheets>
    <sheet name="tips" sheetId="1" r:id="rId1"/>
    <sheet name="Sheet2" sheetId="3" r:id="rId2"/>
    <sheet name="Sheet1" sheetId="2" r:id="rId3"/>
  </sheets>
  <definedNames>
    <definedName name="_xlnm._FilterDatabase" localSheetId="0" hidden="1">tips!$A$1:$G$245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5" i="2" l="1"/>
  <c r="U7" i="2"/>
  <c r="U6" i="2"/>
  <c r="U5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" i="2"/>
  <c r="E245" i="2"/>
  <c r="F245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" i="2"/>
  <c r="D245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" i="2"/>
  <c r="C245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" i="2"/>
  <c r="B245" i="2" s="1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154" i="2"/>
  <c r="A155" i="2"/>
  <c r="A156" i="2"/>
  <c r="A157" i="2"/>
  <c r="A158" i="2"/>
  <c r="A159" i="2"/>
  <c r="A160" i="2"/>
  <c r="A161" i="2"/>
  <c r="A162" i="2"/>
  <c r="A163" i="2"/>
  <c r="A164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2" i="2"/>
  <c r="A245" i="2" s="1"/>
</calcChain>
</file>

<file path=xl/sharedStrings.xml><?xml version="1.0" encoding="utf-8"?>
<sst xmlns="http://schemas.openxmlformats.org/spreadsheetml/2006/main" count="1036" uniqueCount="65">
  <si>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</si>
  <si>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</si>
  <si>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</si>
  <si>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</si>
  <si>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</si>
  <si>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</si>
  <si>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</si>
  <si>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</si>
  <si>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</si>
  <si>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</si>
  <si>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</si>
  <si>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</si>
  <si>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</si>
  <si>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</si>
  <si>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</si>
  <si>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</si>
  <si>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</si>
  <si>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</si>
  <si>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</si>
  <si>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</si>
  <si>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</si>
  <si>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</si>
  <si>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</si>
  <si>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</si>
  <si>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</si>
  <si>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</si>
  <si>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Sex encoded</t>
  </si>
  <si>
    <t>Smoker encoded</t>
  </si>
  <si>
    <t>Time encoded</t>
  </si>
  <si>
    <t>Day encoded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</si>
  <si>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</si>
  <si>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</si>
  <si>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</si>
  <si>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</si>
  <si>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</si>
  <si>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</si>
  <si>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</si>
  <si>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</si>
  <si>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</si>
  <si>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</si>
  <si>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</si>
  <si>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</si>
  <si>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</si>
  <si>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</si>
  <si>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</si>
  <si>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</si>
  <si>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</si>
  <si>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</si>
  <si>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</si>
  <si>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</si>
  <si>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</si>
  <si>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</si>
  <si>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</si>
  <si>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</si>
  <si>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</si>
  <si>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</si>
  <si>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</si>
  <si>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</si>
  <si>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</si>
  <si>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X Variable 6</t>
  </si>
  <si>
    <t>Predicted Tip</t>
  </si>
  <si>
    <t>Error</t>
  </si>
  <si>
    <t>Square Error</t>
  </si>
  <si>
    <t>Mean square error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</si>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</sst>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  <xf numFmtId="0" fontId="0" fillId="2" borderId="0" xfId="0" applyFill="1"/>
    <xf numFmtId="2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K245"/>
  <sheetViews>
    <sheetView topLeftCell="A98" workbookViewId="0">
      <selection activeCell="E1" sqref="E1:G244"/>
    </sheetView>
  </sheetViews>
  <sheetFormatPr baseColWidth="10" defaultColWidth="13.5" defaultRowHeight="15" x14ac:dyDescent="0.2"/>
  <cols>
    <col min="5" max="7" width="13.5" style="2"/>
    <col min="11" max="11" width="46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11" x14ac:dyDescent="0.2">
      <c r="A2" t="s">
        <v>7</v>
      </c>
      <c r="B2" t="s">
        <v>8</v>
      </c>
      <c r="C2" t="s">
        <v>9</v>
      </c>
      <c r="D2" t="s">
        <v>10</v>
      </c>
      <c r="E2" s="2">
        <v>2</v>
      </c>
      <c r="F2" s="2">
        <v>16.989999999999998</v>
      </c>
      <c r="G2" s="2">
        <v>1.01</v>
      </c>
    </row>
    <row r="3" spans="1:11" x14ac:dyDescent="0.2">
      <c r="A3" t="s">
        <v>11</v>
      </c>
      <c r="B3" t="s">
        <v>8</v>
      </c>
      <c r="C3" t="s">
        <v>9</v>
      </c>
      <c r="D3" t="s">
        <v>10</v>
      </c>
      <c r="E3" s="2">
        <v>3</v>
      </c>
      <c r="F3" s="2">
        <v>10.34</v>
      </c>
      <c r="G3" s="2">
        <v>1.66</v>
      </c>
      <c r="J3" s="1" t="s">
        <v>12</v>
      </c>
      <c r="K3" s="1" t="s">
        <v>13</v>
      </c>
    </row>
    <row r="4" spans="1:11" x14ac:dyDescent="0.2">
      <c r="A4" t="s">
        <v>11</v>
      </c>
      <c r="B4" t="s">
        <v>8</v>
      </c>
      <c r="C4" t="s">
        <v>9</v>
      </c>
      <c r="D4" t="s">
        <v>10</v>
      </c>
      <c r="E4" s="2">
        <v>3</v>
      </c>
      <c r="F4" s="2">
        <v>21.01</v>
      </c>
      <c r="G4" s="2">
        <v>3.5</v>
      </c>
      <c r="J4" s="1" t="s">
        <v>1</v>
      </c>
      <c r="K4" s="1" t="s">
        <v>14</v>
      </c>
    </row>
    <row r="5" spans="1:11" x14ac:dyDescent="0.2">
      <c r="A5" t="s">
        <v>11</v>
      </c>
      <c r="B5" t="s">
        <v>8</v>
      </c>
      <c r="C5" t="s">
        <v>9</v>
      </c>
      <c r="D5" t="s">
        <v>10</v>
      </c>
      <c r="E5" s="2">
        <v>2</v>
      </c>
      <c r="F5" s="2">
        <v>23.68</v>
      </c>
      <c r="G5" s="2">
        <v>3.31</v>
      </c>
      <c r="J5" s="1" t="s">
        <v>2</v>
      </c>
      <c r="K5" s="1" t="s">
        <v>15</v>
      </c>
    </row>
    <row r="6" spans="1:11" x14ac:dyDescent="0.2">
      <c r="A6" t="s">
        <v>7</v>
      </c>
      <c r="B6" t="s">
        <v>8</v>
      </c>
      <c r="C6" t="s">
        <v>9</v>
      </c>
      <c r="D6" t="s">
        <v>10</v>
      </c>
      <c r="E6" s="2">
        <v>4</v>
      </c>
      <c r="F6" s="2">
        <v>24.59</v>
      </c>
      <c r="G6" s="2">
        <v>3.61</v>
      </c>
      <c r="J6" s="1" t="s">
        <v>3</v>
      </c>
      <c r="K6" s="1" t="s">
        <v>16</v>
      </c>
    </row>
    <row r="7" spans="1:11" x14ac:dyDescent="0.2">
      <c r="A7" t="s">
        <v>11</v>
      </c>
      <c r="B7" t="s">
        <v>8</v>
      </c>
      <c r="C7" t="s">
        <v>9</v>
      </c>
      <c r="D7" t="s">
        <v>10</v>
      </c>
      <c r="E7" s="2">
        <v>4</v>
      </c>
      <c r="F7" s="2">
        <v>25.29</v>
      </c>
      <c r="G7" s="2">
        <v>4.71</v>
      </c>
      <c r="J7" s="1" t="s">
        <v>4</v>
      </c>
      <c r="K7" s="1" t="s">
        <v>17</v>
      </c>
    </row>
    <row r="8" spans="1:11" x14ac:dyDescent="0.2">
      <c r="A8" t="s">
        <v>11</v>
      </c>
      <c r="B8" t="s">
        <v>8</v>
      </c>
      <c r="C8" t="s">
        <v>9</v>
      </c>
      <c r="D8" t="s">
        <v>10</v>
      </c>
      <c r="E8" s="2">
        <v>2</v>
      </c>
      <c r="F8" s="2">
        <v>8.77</v>
      </c>
      <c r="G8" s="2">
        <v>2</v>
      </c>
      <c r="J8" s="1" t="s">
        <v>18</v>
      </c>
      <c r="K8" s="1" t="s">
        <v>19</v>
      </c>
    </row>
    <row r="9" spans="1:11" x14ac:dyDescent="0.2">
      <c r="A9" t="s">
        <v>11</v>
      </c>
      <c r="B9" t="s">
        <v>8</v>
      </c>
      <c r="C9" t="s">
        <v>9</v>
      </c>
      <c r="D9" t="s">
        <v>10</v>
      </c>
      <c r="E9" s="2">
        <v>4</v>
      </c>
      <c r="F9" s="2">
        <v>26.88</v>
      </c>
      <c r="G9" s="2">
        <v>3.12</v>
      </c>
      <c r="J9" s="1" t="s">
        <v>6</v>
      </c>
      <c r="K9" s="1" t="s">
        <v>20</v>
      </c>
    </row>
    <row r="10" spans="1:11" x14ac:dyDescent="0.2">
      <c r="A10" t="s">
        <v>11</v>
      </c>
      <c r="B10" t="s">
        <v>8</v>
      </c>
      <c r="C10" t="s">
        <v>9</v>
      </c>
      <c r="D10" t="s">
        <v>10</v>
      </c>
      <c r="E10" s="2">
        <v>2</v>
      </c>
      <c r="F10" s="2">
        <v>15.04</v>
      </c>
      <c r="G10" s="2">
        <v>1.96</v>
      </c>
    </row>
    <row r="11" spans="1:11" x14ac:dyDescent="0.2">
      <c r="A11" t="s">
        <v>11</v>
      </c>
      <c r="B11" t="s">
        <v>8</v>
      </c>
      <c r="C11" t="s">
        <v>9</v>
      </c>
      <c r="D11" t="s">
        <v>10</v>
      </c>
      <c r="E11" s="2">
        <v>2</v>
      </c>
      <c r="F11" s="2">
        <v>14.78</v>
      </c>
      <c r="G11" s="2">
        <v>3.23</v>
      </c>
    </row>
    <row r="12" spans="1:11" x14ac:dyDescent="0.2">
      <c r="A12" t="s">
        <v>11</v>
      </c>
      <c r="B12" t="s">
        <v>8</v>
      </c>
      <c r="C12" t="s">
        <v>9</v>
      </c>
      <c r="D12" t="s">
        <v>10</v>
      </c>
      <c r="E12" s="2">
        <v>2</v>
      </c>
      <c r="F12" s="2">
        <v>10.27</v>
      </c>
      <c r="G12" s="2">
        <v>1.71</v>
      </c>
    </row>
    <row r="13" spans="1:11" x14ac:dyDescent="0.2">
      <c r="A13" t="s">
        <v>7</v>
      </c>
      <c r="B13" t="s">
        <v>8</v>
      </c>
      <c r="C13" t="s">
        <v>9</v>
      </c>
      <c r="D13" t="s">
        <v>10</v>
      </c>
      <c r="E13" s="2">
        <v>4</v>
      </c>
      <c r="F13" s="2">
        <v>35.26</v>
      </c>
      <c r="G13" s="2">
        <v>5</v>
      </c>
    </row>
    <row r="14" spans="1:11" x14ac:dyDescent="0.2">
      <c r="A14" t="s">
        <v>11</v>
      </c>
      <c r="B14" t="s">
        <v>8</v>
      </c>
      <c r="C14" t="s">
        <v>9</v>
      </c>
      <c r="D14" t="s">
        <v>10</v>
      </c>
      <c r="E14" s="2">
        <v>2</v>
      </c>
      <c r="F14" s="2">
        <v>15.42</v>
      </c>
      <c r="G14" s="2">
        <v>1.57</v>
      </c>
    </row>
    <row r="15" spans="1:11" x14ac:dyDescent="0.2">
      <c r="A15" t="s">
        <v>11</v>
      </c>
      <c r="B15" t="s">
        <v>8</v>
      </c>
      <c r="C15" t="s">
        <v>9</v>
      </c>
      <c r="D15" t="s">
        <v>10</v>
      </c>
      <c r="E15" s="2">
        <v>4</v>
      </c>
      <c r="F15" s="2">
        <v>18.43</v>
      </c>
      <c r="G15" s="2">
        <v>3</v>
      </c>
    </row>
    <row r="16" spans="1:11" x14ac:dyDescent="0.2">
      <c r="A16" t="s">
        <v>7</v>
      </c>
      <c r="B16" t="s">
        <v>8</v>
      </c>
      <c r="C16" t="s">
        <v>9</v>
      </c>
      <c r="D16" t="s">
        <v>10</v>
      </c>
      <c r="E16" s="2">
        <v>2</v>
      </c>
      <c r="F16" s="2">
        <v>14.83</v>
      </c>
      <c r="G16" s="2">
        <v>3.02</v>
      </c>
    </row>
    <row r="17" spans="1:7" x14ac:dyDescent="0.2">
      <c r="A17" t="s">
        <v>11</v>
      </c>
      <c r="B17" t="s">
        <v>8</v>
      </c>
      <c r="C17" t="s">
        <v>9</v>
      </c>
      <c r="D17" t="s">
        <v>10</v>
      </c>
      <c r="E17" s="2">
        <v>2</v>
      </c>
      <c r="F17" s="2">
        <v>21.58</v>
      </c>
      <c r="G17" s="2">
        <v>3.92</v>
      </c>
    </row>
    <row r="18" spans="1:7" x14ac:dyDescent="0.2">
      <c r="A18" t="s">
        <v>7</v>
      </c>
      <c r="B18" t="s">
        <v>8</v>
      </c>
      <c r="C18" t="s">
        <v>9</v>
      </c>
      <c r="D18" t="s">
        <v>10</v>
      </c>
      <c r="E18" s="2">
        <v>3</v>
      </c>
      <c r="F18" s="2">
        <v>10.33</v>
      </c>
      <c r="G18" s="2">
        <v>1.67</v>
      </c>
    </row>
    <row r="19" spans="1:7" x14ac:dyDescent="0.2">
      <c r="A19" t="s">
        <v>11</v>
      </c>
      <c r="B19" t="s">
        <v>8</v>
      </c>
      <c r="C19" t="s">
        <v>9</v>
      </c>
      <c r="D19" t="s">
        <v>10</v>
      </c>
      <c r="E19" s="2">
        <v>3</v>
      </c>
      <c r="F19" s="2">
        <v>16.29</v>
      </c>
      <c r="G19" s="2">
        <v>3.71</v>
      </c>
    </row>
    <row r="20" spans="1:7" x14ac:dyDescent="0.2">
      <c r="A20" t="s">
        <v>7</v>
      </c>
      <c r="B20" t="s">
        <v>8</v>
      </c>
      <c r="C20" t="s">
        <v>9</v>
      </c>
      <c r="D20" t="s">
        <v>10</v>
      </c>
      <c r="E20" s="2">
        <v>3</v>
      </c>
      <c r="F20" s="2">
        <v>16.97</v>
      </c>
      <c r="G20" s="2">
        <v>3.5</v>
      </c>
    </row>
    <row r="21" spans="1:7" x14ac:dyDescent="0.2">
      <c r="A21" t="s">
        <v>11</v>
      </c>
      <c r="B21" t="s">
        <v>8</v>
      </c>
      <c r="C21" t="s">
        <v>21</v>
      </c>
      <c r="D21" t="s">
        <v>10</v>
      </c>
      <c r="E21" s="2">
        <v>3</v>
      </c>
      <c r="F21" s="2">
        <v>20.65</v>
      </c>
      <c r="G21" s="2">
        <v>3.35</v>
      </c>
    </row>
    <row r="22" spans="1:7" x14ac:dyDescent="0.2">
      <c r="A22" t="s">
        <v>11</v>
      </c>
      <c r="B22" t="s">
        <v>8</v>
      </c>
      <c r="C22" t="s">
        <v>21</v>
      </c>
      <c r="D22" t="s">
        <v>10</v>
      </c>
      <c r="E22" s="2">
        <v>2</v>
      </c>
      <c r="F22" s="2">
        <v>17.920000000000002</v>
      </c>
      <c r="G22" s="2">
        <v>4.08</v>
      </c>
    </row>
    <row r="23" spans="1:7" x14ac:dyDescent="0.2">
      <c r="A23" t="s">
        <v>7</v>
      </c>
      <c r="B23" t="s">
        <v>8</v>
      </c>
      <c r="C23" t="s">
        <v>21</v>
      </c>
      <c r="D23" t="s">
        <v>10</v>
      </c>
      <c r="E23" s="2">
        <v>2</v>
      </c>
      <c r="F23" s="2">
        <v>20.29</v>
      </c>
      <c r="G23" s="2">
        <v>2.75</v>
      </c>
    </row>
    <row r="24" spans="1:7" x14ac:dyDescent="0.2">
      <c r="A24" t="s">
        <v>7</v>
      </c>
      <c r="B24" t="s">
        <v>8</v>
      </c>
      <c r="C24" t="s">
        <v>21</v>
      </c>
      <c r="D24" t="s">
        <v>10</v>
      </c>
      <c r="E24" s="2">
        <v>2</v>
      </c>
      <c r="F24" s="2">
        <v>15.77</v>
      </c>
      <c r="G24" s="2">
        <v>2.23</v>
      </c>
    </row>
    <row r="25" spans="1:7" x14ac:dyDescent="0.2">
      <c r="A25" t="s">
        <v>11</v>
      </c>
      <c r="B25" t="s">
        <v>8</v>
      </c>
      <c r="C25" t="s">
        <v>21</v>
      </c>
      <c r="D25" t="s">
        <v>10</v>
      </c>
      <c r="E25" s="2">
        <v>4</v>
      </c>
      <c r="F25" s="2">
        <v>39.42</v>
      </c>
      <c r="G25" s="2">
        <v>7.58</v>
      </c>
    </row>
    <row r="26" spans="1:7" x14ac:dyDescent="0.2">
      <c r="A26" t="s">
        <v>11</v>
      </c>
      <c r="B26" t="s">
        <v>8</v>
      </c>
      <c r="C26" t="s">
        <v>21</v>
      </c>
      <c r="D26" t="s">
        <v>10</v>
      </c>
      <c r="E26" s="2">
        <v>2</v>
      </c>
      <c r="F26" s="2">
        <v>19.82</v>
      </c>
      <c r="G26" s="2">
        <v>3.18</v>
      </c>
    </row>
    <row r="27" spans="1:7" x14ac:dyDescent="0.2">
      <c r="A27" t="s">
        <v>11</v>
      </c>
      <c r="B27" t="s">
        <v>8</v>
      </c>
      <c r="C27" t="s">
        <v>21</v>
      </c>
      <c r="D27" t="s">
        <v>10</v>
      </c>
      <c r="E27" s="2">
        <v>4</v>
      </c>
      <c r="F27" s="2">
        <v>17.809999999999999</v>
      </c>
      <c r="G27" s="2">
        <v>2.34</v>
      </c>
    </row>
    <row r="28" spans="1:7" x14ac:dyDescent="0.2">
      <c r="A28" t="s">
        <v>11</v>
      </c>
      <c r="B28" t="s">
        <v>8</v>
      </c>
      <c r="C28" t="s">
        <v>21</v>
      </c>
      <c r="D28" t="s">
        <v>10</v>
      </c>
      <c r="E28" s="2">
        <v>2</v>
      </c>
      <c r="F28" s="2">
        <v>13.37</v>
      </c>
      <c r="G28" s="2">
        <v>2</v>
      </c>
    </row>
    <row r="29" spans="1:7" x14ac:dyDescent="0.2">
      <c r="A29" t="s">
        <v>11</v>
      </c>
      <c r="B29" t="s">
        <v>8</v>
      </c>
      <c r="C29" t="s">
        <v>21</v>
      </c>
      <c r="D29" t="s">
        <v>10</v>
      </c>
      <c r="E29" s="2">
        <v>2</v>
      </c>
      <c r="F29" s="2">
        <v>12.69</v>
      </c>
      <c r="G29" s="2">
        <v>2</v>
      </c>
    </row>
    <row r="30" spans="1:7" x14ac:dyDescent="0.2">
      <c r="A30" t="s">
        <v>11</v>
      </c>
      <c r="B30" t="s">
        <v>8</v>
      </c>
      <c r="C30" t="s">
        <v>21</v>
      </c>
      <c r="D30" t="s">
        <v>10</v>
      </c>
      <c r="E30" s="2">
        <v>2</v>
      </c>
      <c r="F30" s="2">
        <v>21.7</v>
      </c>
      <c r="G30" s="2">
        <v>4.3</v>
      </c>
    </row>
    <row r="31" spans="1:7" x14ac:dyDescent="0.2">
      <c r="A31" t="s">
        <v>7</v>
      </c>
      <c r="B31" t="s">
        <v>8</v>
      </c>
      <c r="C31" t="s">
        <v>21</v>
      </c>
      <c r="D31" t="s">
        <v>10</v>
      </c>
      <c r="E31" s="2">
        <v>2</v>
      </c>
      <c r="F31" s="2">
        <v>19.649999999999999</v>
      </c>
      <c r="G31" s="2">
        <v>3</v>
      </c>
    </row>
    <row r="32" spans="1:7" x14ac:dyDescent="0.2">
      <c r="A32" t="s">
        <v>11</v>
      </c>
      <c r="B32" t="s">
        <v>8</v>
      </c>
      <c r="C32" t="s">
        <v>21</v>
      </c>
      <c r="D32" t="s">
        <v>10</v>
      </c>
      <c r="E32" s="2">
        <v>2</v>
      </c>
      <c r="F32" s="2">
        <v>9.5500000000000007</v>
      </c>
      <c r="G32" s="2">
        <v>1.45</v>
      </c>
    </row>
    <row r="33" spans="1:7" x14ac:dyDescent="0.2">
      <c r="A33" t="s">
        <v>11</v>
      </c>
      <c r="B33" t="s">
        <v>8</v>
      </c>
      <c r="C33" t="s">
        <v>21</v>
      </c>
      <c r="D33" t="s">
        <v>10</v>
      </c>
      <c r="E33" s="2">
        <v>4</v>
      </c>
      <c r="F33" s="2">
        <v>18.350000000000001</v>
      </c>
      <c r="G33" s="2">
        <v>2.5</v>
      </c>
    </row>
    <row r="34" spans="1:7" x14ac:dyDescent="0.2">
      <c r="A34" t="s">
        <v>7</v>
      </c>
      <c r="B34" t="s">
        <v>8</v>
      </c>
      <c r="C34" t="s">
        <v>21</v>
      </c>
      <c r="D34" t="s">
        <v>10</v>
      </c>
      <c r="E34" s="2">
        <v>2</v>
      </c>
      <c r="F34" s="2">
        <v>15.06</v>
      </c>
      <c r="G34" s="2">
        <v>3</v>
      </c>
    </row>
    <row r="35" spans="1:7" x14ac:dyDescent="0.2">
      <c r="A35" t="s">
        <v>7</v>
      </c>
      <c r="B35" t="s">
        <v>8</v>
      </c>
      <c r="C35" t="s">
        <v>21</v>
      </c>
      <c r="D35" t="s">
        <v>10</v>
      </c>
      <c r="E35" s="2">
        <v>4</v>
      </c>
      <c r="F35" s="2">
        <v>20.69</v>
      </c>
      <c r="G35" s="2">
        <v>2.4500000000000002</v>
      </c>
    </row>
    <row r="36" spans="1:7" x14ac:dyDescent="0.2">
      <c r="A36" t="s">
        <v>11</v>
      </c>
      <c r="B36" t="s">
        <v>8</v>
      </c>
      <c r="C36" t="s">
        <v>21</v>
      </c>
      <c r="D36" t="s">
        <v>10</v>
      </c>
      <c r="E36" s="2">
        <v>2</v>
      </c>
      <c r="F36" s="2">
        <v>17.78</v>
      </c>
      <c r="G36" s="2">
        <v>3.27</v>
      </c>
    </row>
    <row r="37" spans="1:7" x14ac:dyDescent="0.2">
      <c r="A37" t="s">
        <v>11</v>
      </c>
      <c r="B37" t="s">
        <v>8</v>
      </c>
      <c r="C37" t="s">
        <v>21</v>
      </c>
      <c r="D37" t="s">
        <v>10</v>
      </c>
      <c r="E37" s="2">
        <v>3</v>
      </c>
      <c r="F37" s="2">
        <v>24.06</v>
      </c>
      <c r="G37" s="2">
        <v>3.6</v>
      </c>
    </row>
    <row r="38" spans="1:7" x14ac:dyDescent="0.2">
      <c r="A38" t="s">
        <v>11</v>
      </c>
      <c r="B38" t="s">
        <v>8</v>
      </c>
      <c r="C38" t="s">
        <v>21</v>
      </c>
      <c r="D38" t="s">
        <v>10</v>
      </c>
      <c r="E38" s="2">
        <v>3</v>
      </c>
      <c r="F38" s="2">
        <v>16.309999999999999</v>
      </c>
      <c r="G38" s="2">
        <v>2</v>
      </c>
    </row>
    <row r="39" spans="1:7" x14ac:dyDescent="0.2">
      <c r="A39" t="s">
        <v>7</v>
      </c>
      <c r="B39" t="s">
        <v>8</v>
      </c>
      <c r="C39" t="s">
        <v>21</v>
      </c>
      <c r="D39" t="s">
        <v>10</v>
      </c>
      <c r="E39" s="2">
        <v>3</v>
      </c>
      <c r="F39" s="2">
        <v>16.93</v>
      </c>
      <c r="G39" s="2">
        <v>3.07</v>
      </c>
    </row>
    <row r="40" spans="1:7" x14ac:dyDescent="0.2">
      <c r="A40" t="s">
        <v>11</v>
      </c>
      <c r="B40" t="s">
        <v>8</v>
      </c>
      <c r="C40" t="s">
        <v>21</v>
      </c>
      <c r="D40" t="s">
        <v>10</v>
      </c>
      <c r="E40" s="2">
        <v>3</v>
      </c>
      <c r="F40" s="2">
        <v>18.690000000000001</v>
      </c>
      <c r="G40" s="2">
        <v>2.31</v>
      </c>
    </row>
    <row r="41" spans="1:7" x14ac:dyDescent="0.2">
      <c r="A41" t="s">
        <v>11</v>
      </c>
      <c r="B41" t="s">
        <v>8</v>
      </c>
      <c r="C41" t="s">
        <v>21</v>
      </c>
      <c r="D41" t="s">
        <v>10</v>
      </c>
      <c r="E41" s="2">
        <v>3</v>
      </c>
      <c r="F41" s="2">
        <v>31.27</v>
      </c>
      <c r="G41" s="2">
        <v>5</v>
      </c>
    </row>
    <row r="42" spans="1:7" x14ac:dyDescent="0.2">
      <c r="A42" t="s">
        <v>11</v>
      </c>
      <c r="B42" t="s">
        <v>8</v>
      </c>
      <c r="C42" t="s">
        <v>21</v>
      </c>
      <c r="D42" t="s">
        <v>10</v>
      </c>
      <c r="E42" s="2">
        <v>3</v>
      </c>
      <c r="F42" s="2">
        <v>16.04</v>
      </c>
      <c r="G42" s="2">
        <v>2.2400000000000002</v>
      </c>
    </row>
    <row r="43" spans="1:7" x14ac:dyDescent="0.2">
      <c r="A43" t="s">
        <v>11</v>
      </c>
      <c r="B43" t="s">
        <v>8</v>
      </c>
      <c r="C43" t="s">
        <v>9</v>
      </c>
      <c r="D43" t="s">
        <v>10</v>
      </c>
      <c r="E43" s="2">
        <v>2</v>
      </c>
      <c r="F43" s="2">
        <v>17.46</v>
      </c>
      <c r="G43" s="2">
        <v>2.54</v>
      </c>
    </row>
    <row r="44" spans="1:7" x14ac:dyDescent="0.2">
      <c r="A44" t="s">
        <v>11</v>
      </c>
      <c r="B44" t="s">
        <v>8</v>
      </c>
      <c r="C44" t="s">
        <v>9</v>
      </c>
      <c r="D44" t="s">
        <v>10</v>
      </c>
      <c r="E44" s="2">
        <v>2</v>
      </c>
      <c r="F44" s="2">
        <v>13.94</v>
      </c>
      <c r="G44" s="2">
        <v>3.06</v>
      </c>
    </row>
    <row r="45" spans="1:7" x14ac:dyDescent="0.2">
      <c r="A45" t="s">
        <v>11</v>
      </c>
      <c r="B45" t="s">
        <v>8</v>
      </c>
      <c r="C45" t="s">
        <v>9</v>
      </c>
      <c r="D45" t="s">
        <v>10</v>
      </c>
      <c r="E45" s="2">
        <v>2</v>
      </c>
      <c r="F45" s="2">
        <v>9.68</v>
      </c>
      <c r="G45" s="2">
        <v>1.32</v>
      </c>
    </row>
    <row r="46" spans="1:7" x14ac:dyDescent="0.2">
      <c r="A46" t="s">
        <v>11</v>
      </c>
      <c r="B46" t="s">
        <v>8</v>
      </c>
      <c r="C46" t="s">
        <v>9</v>
      </c>
      <c r="D46" t="s">
        <v>10</v>
      </c>
      <c r="E46" s="2">
        <v>4</v>
      </c>
      <c r="F46" s="2">
        <v>30.4</v>
      </c>
      <c r="G46" s="2">
        <v>5.6</v>
      </c>
    </row>
    <row r="47" spans="1:7" x14ac:dyDescent="0.2">
      <c r="A47" t="s">
        <v>11</v>
      </c>
      <c r="B47" t="s">
        <v>8</v>
      </c>
      <c r="C47" t="s">
        <v>9</v>
      </c>
      <c r="D47" t="s">
        <v>10</v>
      </c>
      <c r="E47" s="2">
        <v>2</v>
      </c>
      <c r="F47" s="2">
        <v>18.29</v>
      </c>
      <c r="G47" s="2">
        <v>3</v>
      </c>
    </row>
    <row r="48" spans="1:7" x14ac:dyDescent="0.2">
      <c r="A48" t="s">
        <v>11</v>
      </c>
      <c r="B48" t="s">
        <v>8</v>
      </c>
      <c r="C48" t="s">
        <v>9</v>
      </c>
      <c r="D48" t="s">
        <v>10</v>
      </c>
      <c r="E48" s="2">
        <v>2</v>
      </c>
      <c r="F48" s="2">
        <v>22.23</v>
      </c>
      <c r="G48" s="2">
        <v>5</v>
      </c>
    </row>
    <row r="49" spans="1:7" x14ac:dyDescent="0.2">
      <c r="A49" t="s">
        <v>11</v>
      </c>
      <c r="B49" t="s">
        <v>8</v>
      </c>
      <c r="C49" t="s">
        <v>9</v>
      </c>
      <c r="D49" t="s">
        <v>10</v>
      </c>
      <c r="E49" s="2">
        <v>4</v>
      </c>
      <c r="F49" s="2">
        <v>32.4</v>
      </c>
      <c r="G49" s="2">
        <v>6</v>
      </c>
    </row>
    <row r="50" spans="1:7" x14ac:dyDescent="0.2">
      <c r="A50" t="s">
        <v>11</v>
      </c>
      <c r="B50" t="s">
        <v>8</v>
      </c>
      <c r="C50" t="s">
        <v>9</v>
      </c>
      <c r="D50" t="s">
        <v>10</v>
      </c>
      <c r="E50" s="2">
        <v>3</v>
      </c>
      <c r="F50" s="2">
        <v>28.55</v>
      </c>
      <c r="G50" s="2">
        <v>2.0499999999999998</v>
      </c>
    </row>
    <row r="51" spans="1:7" x14ac:dyDescent="0.2">
      <c r="A51" t="s">
        <v>11</v>
      </c>
      <c r="B51" t="s">
        <v>8</v>
      </c>
      <c r="C51" t="s">
        <v>9</v>
      </c>
      <c r="D51" t="s">
        <v>10</v>
      </c>
      <c r="E51" s="2">
        <v>2</v>
      </c>
      <c r="F51" s="2">
        <v>18.04</v>
      </c>
      <c r="G51" s="2">
        <v>3</v>
      </c>
    </row>
    <row r="52" spans="1:7" x14ac:dyDescent="0.2">
      <c r="A52" t="s">
        <v>11</v>
      </c>
      <c r="B52" t="s">
        <v>8</v>
      </c>
      <c r="C52" t="s">
        <v>9</v>
      </c>
      <c r="D52" t="s">
        <v>10</v>
      </c>
      <c r="E52" s="2">
        <v>2</v>
      </c>
      <c r="F52" s="2">
        <v>12.54</v>
      </c>
      <c r="G52" s="2">
        <v>2.5</v>
      </c>
    </row>
    <row r="53" spans="1:7" x14ac:dyDescent="0.2">
      <c r="A53" t="s">
        <v>7</v>
      </c>
      <c r="B53" t="s">
        <v>8</v>
      </c>
      <c r="C53" t="s">
        <v>9</v>
      </c>
      <c r="D53" t="s">
        <v>10</v>
      </c>
      <c r="E53" s="2">
        <v>2</v>
      </c>
      <c r="F53" s="2">
        <v>10.29</v>
      </c>
      <c r="G53" s="2">
        <v>2.6</v>
      </c>
    </row>
    <row r="54" spans="1:7" x14ac:dyDescent="0.2">
      <c r="A54" t="s">
        <v>7</v>
      </c>
      <c r="B54" t="s">
        <v>8</v>
      </c>
      <c r="C54" t="s">
        <v>9</v>
      </c>
      <c r="D54" t="s">
        <v>10</v>
      </c>
      <c r="E54" s="2">
        <v>4</v>
      </c>
      <c r="F54" s="2">
        <v>34.81</v>
      </c>
      <c r="G54" s="2">
        <v>5.2</v>
      </c>
    </row>
    <row r="55" spans="1:7" x14ac:dyDescent="0.2">
      <c r="A55" t="s">
        <v>11</v>
      </c>
      <c r="B55" t="s">
        <v>8</v>
      </c>
      <c r="C55" t="s">
        <v>9</v>
      </c>
      <c r="D55" t="s">
        <v>10</v>
      </c>
      <c r="E55" s="2">
        <v>2</v>
      </c>
      <c r="F55" s="2">
        <v>9.94</v>
      </c>
      <c r="G55" s="2">
        <v>1.56</v>
      </c>
    </row>
    <row r="56" spans="1:7" x14ac:dyDescent="0.2">
      <c r="A56" t="s">
        <v>11</v>
      </c>
      <c r="B56" t="s">
        <v>8</v>
      </c>
      <c r="C56" t="s">
        <v>9</v>
      </c>
      <c r="D56" t="s">
        <v>10</v>
      </c>
      <c r="E56" s="2">
        <v>4</v>
      </c>
      <c r="F56" s="2">
        <v>25.56</v>
      </c>
      <c r="G56" s="2">
        <v>4.34</v>
      </c>
    </row>
    <row r="57" spans="1:7" x14ac:dyDescent="0.2">
      <c r="A57" t="s">
        <v>11</v>
      </c>
      <c r="B57" t="s">
        <v>8</v>
      </c>
      <c r="C57" t="s">
        <v>9</v>
      </c>
      <c r="D57" t="s">
        <v>10</v>
      </c>
      <c r="E57" s="2">
        <v>2</v>
      </c>
      <c r="F57" s="2">
        <v>19.489999999999998</v>
      </c>
      <c r="G57" s="2">
        <v>3.51</v>
      </c>
    </row>
    <row r="58" spans="1:7" x14ac:dyDescent="0.2">
      <c r="A58" t="s">
        <v>11</v>
      </c>
      <c r="B58" t="s">
        <v>22</v>
      </c>
      <c r="C58" t="s">
        <v>21</v>
      </c>
      <c r="D58" t="s">
        <v>10</v>
      </c>
      <c r="E58" s="2">
        <v>4</v>
      </c>
      <c r="F58" s="2">
        <v>38.01</v>
      </c>
      <c r="G58" s="2">
        <v>3</v>
      </c>
    </row>
    <row r="59" spans="1:7" x14ac:dyDescent="0.2">
      <c r="A59" t="s">
        <v>7</v>
      </c>
      <c r="B59" t="s">
        <v>8</v>
      </c>
      <c r="C59" t="s">
        <v>21</v>
      </c>
      <c r="D59" t="s">
        <v>10</v>
      </c>
      <c r="E59" s="2">
        <v>2</v>
      </c>
      <c r="F59" s="2">
        <v>26.41</v>
      </c>
      <c r="G59" s="2">
        <v>1.5</v>
      </c>
    </row>
    <row r="60" spans="1:7" x14ac:dyDescent="0.2">
      <c r="A60" t="s">
        <v>11</v>
      </c>
      <c r="B60" t="s">
        <v>22</v>
      </c>
      <c r="C60" t="s">
        <v>21</v>
      </c>
      <c r="D60" t="s">
        <v>10</v>
      </c>
      <c r="E60" s="2">
        <v>2</v>
      </c>
      <c r="F60" s="2">
        <v>11.24</v>
      </c>
      <c r="G60" s="2">
        <v>1.76</v>
      </c>
    </row>
    <row r="61" spans="1:7" x14ac:dyDescent="0.2">
      <c r="A61" t="s">
        <v>11</v>
      </c>
      <c r="B61" t="s">
        <v>8</v>
      </c>
      <c r="C61" t="s">
        <v>21</v>
      </c>
      <c r="D61" t="s">
        <v>10</v>
      </c>
      <c r="E61" s="2">
        <v>4</v>
      </c>
      <c r="F61" s="2">
        <v>48.27</v>
      </c>
      <c r="G61" s="2">
        <v>6.73</v>
      </c>
    </row>
    <row r="62" spans="1:7" x14ac:dyDescent="0.2">
      <c r="A62" t="s">
        <v>11</v>
      </c>
      <c r="B62" t="s">
        <v>22</v>
      </c>
      <c r="C62" t="s">
        <v>21</v>
      </c>
      <c r="D62" t="s">
        <v>10</v>
      </c>
      <c r="E62" s="2">
        <v>2</v>
      </c>
      <c r="F62" s="2">
        <v>20.29</v>
      </c>
      <c r="G62" s="2">
        <v>3.21</v>
      </c>
    </row>
    <row r="63" spans="1:7" x14ac:dyDescent="0.2">
      <c r="A63" t="s">
        <v>11</v>
      </c>
      <c r="B63" t="s">
        <v>22</v>
      </c>
      <c r="C63" t="s">
        <v>21</v>
      </c>
      <c r="D63" t="s">
        <v>10</v>
      </c>
      <c r="E63" s="2">
        <v>2</v>
      </c>
      <c r="F63" s="2">
        <v>13.81</v>
      </c>
      <c r="G63" s="2">
        <v>2</v>
      </c>
    </row>
    <row r="64" spans="1:7" x14ac:dyDescent="0.2">
      <c r="A64" t="s">
        <v>11</v>
      </c>
      <c r="B64" t="s">
        <v>22</v>
      </c>
      <c r="C64" t="s">
        <v>21</v>
      </c>
      <c r="D64" t="s">
        <v>10</v>
      </c>
      <c r="E64" s="2">
        <v>2</v>
      </c>
      <c r="F64" s="2">
        <v>11.02</v>
      </c>
      <c r="G64" s="2">
        <v>1.98</v>
      </c>
    </row>
    <row r="65" spans="1:7" x14ac:dyDescent="0.2">
      <c r="A65" t="s">
        <v>11</v>
      </c>
      <c r="B65" t="s">
        <v>22</v>
      </c>
      <c r="C65" t="s">
        <v>21</v>
      </c>
      <c r="D65" t="s">
        <v>10</v>
      </c>
      <c r="E65" s="2">
        <v>4</v>
      </c>
      <c r="F65" s="2">
        <v>18.29</v>
      </c>
      <c r="G65" s="2">
        <v>3.76</v>
      </c>
    </row>
    <row r="66" spans="1:7" x14ac:dyDescent="0.2">
      <c r="A66" t="s">
        <v>11</v>
      </c>
      <c r="B66" t="s">
        <v>8</v>
      </c>
      <c r="C66" t="s">
        <v>21</v>
      </c>
      <c r="D66" t="s">
        <v>10</v>
      </c>
      <c r="E66" s="2">
        <v>3</v>
      </c>
      <c r="F66" s="2">
        <v>17.59</v>
      </c>
      <c r="G66" s="2">
        <v>2.64</v>
      </c>
    </row>
    <row r="67" spans="1:7" x14ac:dyDescent="0.2">
      <c r="A67" t="s">
        <v>11</v>
      </c>
      <c r="B67" t="s">
        <v>8</v>
      </c>
      <c r="C67" t="s">
        <v>21</v>
      </c>
      <c r="D67" t="s">
        <v>10</v>
      </c>
      <c r="E67" s="2">
        <v>3</v>
      </c>
      <c r="F67" s="2">
        <v>20.079999999999998</v>
      </c>
      <c r="G67" s="2">
        <v>3.15</v>
      </c>
    </row>
    <row r="68" spans="1:7" x14ac:dyDescent="0.2">
      <c r="A68" t="s">
        <v>7</v>
      </c>
      <c r="B68" t="s">
        <v>8</v>
      </c>
      <c r="C68" t="s">
        <v>21</v>
      </c>
      <c r="D68" t="s">
        <v>10</v>
      </c>
      <c r="E68" s="2">
        <v>2</v>
      </c>
      <c r="F68" s="2">
        <v>16.45</v>
      </c>
      <c r="G68" s="2">
        <v>2.4700000000000002</v>
      </c>
    </row>
    <row r="69" spans="1:7" x14ac:dyDescent="0.2">
      <c r="A69" t="s">
        <v>7</v>
      </c>
      <c r="B69" t="s">
        <v>22</v>
      </c>
      <c r="C69" t="s">
        <v>21</v>
      </c>
      <c r="D69" t="s">
        <v>10</v>
      </c>
      <c r="E69" s="2">
        <v>1</v>
      </c>
      <c r="F69" s="2">
        <v>3.07</v>
      </c>
      <c r="G69" s="2">
        <v>1</v>
      </c>
    </row>
    <row r="70" spans="1:7" x14ac:dyDescent="0.2">
      <c r="A70" t="s">
        <v>11</v>
      </c>
      <c r="B70" t="s">
        <v>8</v>
      </c>
      <c r="C70" t="s">
        <v>21</v>
      </c>
      <c r="D70" t="s">
        <v>10</v>
      </c>
      <c r="E70" s="2">
        <v>2</v>
      </c>
      <c r="F70" s="2">
        <v>20.23</v>
      </c>
      <c r="G70" s="2">
        <v>2.0099999999999998</v>
      </c>
    </row>
    <row r="71" spans="1:7" x14ac:dyDescent="0.2">
      <c r="A71" t="s">
        <v>11</v>
      </c>
      <c r="B71" t="s">
        <v>22</v>
      </c>
      <c r="C71" t="s">
        <v>21</v>
      </c>
      <c r="D71" t="s">
        <v>10</v>
      </c>
      <c r="E71" s="2">
        <v>2</v>
      </c>
      <c r="F71" s="2">
        <v>15.01</v>
      </c>
      <c r="G71" s="2">
        <v>2.09</v>
      </c>
    </row>
    <row r="72" spans="1:7" x14ac:dyDescent="0.2">
      <c r="A72" t="s">
        <v>11</v>
      </c>
      <c r="B72" t="s">
        <v>8</v>
      </c>
      <c r="C72" t="s">
        <v>21</v>
      </c>
      <c r="D72" t="s">
        <v>10</v>
      </c>
      <c r="E72" s="2">
        <v>2</v>
      </c>
      <c r="F72" s="2">
        <v>12.02</v>
      </c>
      <c r="G72" s="2">
        <v>1.97</v>
      </c>
    </row>
    <row r="73" spans="1:7" x14ac:dyDescent="0.2">
      <c r="A73" t="s">
        <v>7</v>
      </c>
      <c r="B73" t="s">
        <v>8</v>
      </c>
      <c r="C73" t="s">
        <v>21</v>
      </c>
      <c r="D73" t="s">
        <v>10</v>
      </c>
      <c r="E73" s="2">
        <v>3</v>
      </c>
      <c r="F73" s="2">
        <v>17.07</v>
      </c>
      <c r="G73" s="2">
        <v>3</v>
      </c>
    </row>
    <row r="74" spans="1:7" x14ac:dyDescent="0.2">
      <c r="A74" t="s">
        <v>7</v>
      </c>
      <c r="B74" t="s">
        <v>22</v>
      </c>
      <c r="C74" t="s">
        <v>21</v>
      </c>
      <c r="D74" t="s">
        <v>10</v>
      </c>
      <c r="E74" s="2">
        <v>2</v>
      </c>
      <c r="F74" s="2">
        <v>26.86</v>
      </c>
      <c r="G74" s="2">
        <v>3.14</v>
      </c>
    </row>
    <row r="75" spans="1:7" x14ac:dyDescent="0.2">
      <c r="A75" t="s">
        <v>7</v>
      </c>
      <c r="B75" t="s">
        <v>22</v>
      </c>
      <c r="C75" t="s">
        <v>21</v>
      </c>
      <c r="D75" t="s">
        <v>10</v>
      </c>
      <c r="E75" s="2">
        <v>2</v>
      </c>
      <c r="F75" s="2">
        <v>25.28</v>
      </c>
      <c r="G75" s="2">
        <v>5</v>
      </c>
    </row>
    <row r="76" spans="1:7" x14ac:dyDescent="0.2">
      <c r="A76" t="s">
        <v>7</v>
      </c>
      <c r="B76" t="s">
        <v>8</v>
      </c>
      <c r="C76" t="s">
        <v>21</v>
      </c>
      <c r="D76" t="s">
        <v>10</v>
      </c>
      <c r="E76" s="2">
        <v>2</v>
      </c>
      <c r="F76" s="2">
        <v>14.73</v>
      </c>
      <c r="G76" s="2">
        <v>2.2000000000000002</v>
      </c>
    </row>
    <row r="77" spans="1:7" x14ac:dyDescent="0.2">
      <c r="A77" t="s">
        <v>11</v>
      </c>
      <c r="B77" t="s">
        <v>8</v>
      </c>
      <c r="C77" t="s">
        <v>21</v>
      </c>
      <c r="D77" t="s">
        <v>10</v>
      </c>
      <c r="E77" s="2">
        <v>2</v>
      </c>
      <c r="F77" s="2">
        <v>10.51</v>
      </c>
      <c r="G77" s="2">
        <v>1.25</v>
      </c>
    </row>
    <row r="78" spans="1:7" x14ac:dyDescent="0.2">
      <c r="A78" t="s">
        <v>11</v>
      </c>
      <c r="B78" t="s">
        <v>22</v>
      </c>
      <c r="C78" t="s">
        <v>21</v>
      </c>
      <c r="D78" t="s">
        <v>10</v>
      </c>
      <c r="E78" s="2">
        <v>2</v>
      </c>
      <c r="F78" s="2">
        <v>17.920000000000002</v>
      </c>
      <c r="G78" s="2">
        <v>3.08</v>
      </c>
    </row>
    <row r="79" spans="1:7" x14ac:dyDescent="0.2">
      <c r="A79" t="s">
        <v>11</v>
      </c>
      <c r="B79" t="s">
        <v>8</v>
      </c>
      <c r="C79" t="s">
        <v>23</v>
      </c>
      <c r="D79" t="s">
        <v>24</v>
      </c>
      <c r="E79" s="2">
        <v>4</v>
      </c>
      <c r="F79" s="2">
        <v>27.2</v>
      </c>
      <c r="G79" s="2">
        <v>4</v>
      </c>
    </row>
    <row r="80" spans="1:7" x14ac:dyDescent="0.2">
      <c r="A80" t="s">
        <v>11</v>
      </c>
      <c r="B80" t="s">
        <v>8</v>
      </c>
      <c r="C80" t="s">
        <v>23</v>
      </c>
      <c r="D80" t="s">
        <v>24</v>
      </c>
      <c r="E80" s="2">
        <v>2</v>
      </c>
      <c r="F80" s="2">
        <v>22.76</v>
      </c>
      <c r="G80" s="2">
        <v>3</v>
      </c>
    </row>
    <row r="81" spans="1:7" x14ac:dyDescent="0.2">
      <c r="A81" t="s">
        <v>11</v>
      </c>
      <c r="B81" t="s">
        <v>8</v>
      </c>
      <c r="C81" t="s">
        <v>23</v>
      </c>
      <c r="D81" t="s">
        <v>24</v>
      </c>
      <c r="E81" s="2">
        <v>2</v>
      </c>
      <c r="F81" s="2">
        <v>17.29</v>
      </c>
      <c r="G81" s="2">
        <v>2.71</v>
      </c>
    </row>
    <row r="82" spans="1:7" x14ac:dyDescent="0.2">
      <c r="A82" t="s">
        <v>11</v>
      </c>
      <c r="B82" t="s">
        <v>22</v>
      </c>
      <c r="C82" t="s">
        <v>23</v>
      </c>
      <c r="D82" t="s">
        <v>24</v>
      </c>
      <c r="E82" s="2">
        <v>2</v>
      </c>
      <c r="F82" s="2">
        <v>19.440000000000001</v>
      </c>
      <c r="G82" s="2">
        <v>3</v>
      </c>
    </row>
    <row r="83" spans="1:7" x14ac:dyDescent="0.2">
      <c r="A83" t="s">
        <v>11</v>
      </c>
      <c r="B83" t="s">
        <v>8</v>
      </c>
      <c r="C83" t="s">
        <v>23</v>
      </c>
      <c r="D83" t="s">
        <v>24</v>
      </c>
      <c r="E83" s="2">
        <v>2</v>
      </c>
      <c r="F83" s="2">
        <v>16.66</v>
      </c>
      <c r="G83" s="2">
        <v>3.4</v>
      </c>
    </row>
    <row r="84" spans="1:7" x14ac:dyDescent="0.2">
      <c r="A84" t="s">
        <v>7</v>
      </c>
      <c r="B84" t="s">
        <v>8</v>
      </c>
      <c r="C84" t="s">
        <v>23</v>
      </c>
      <c r="D84" t="s">
        <v>24</v>
      </c>
      <c r="E84" s="2">
        <v>1</v>
      </c>
      <c r="F84" s="2">
        <v>10.07</v>
      </c>
      <c r="G84" s="2">
        <v>1.83</v>
      </c>
    </row>
    <row r="85" spans="1:7" x14ac:dyDescent="0.2">
      <c r="A85" t="s">
        <v>11</v>
      </c>
      <c r="B85" t="s">
        <v>22</v>
      </c>
      <c r="C85" t="s">
        <v>23</v>
      </c>
      <c r="D85" t="s">
        <v>24</v>
      </c>
      <c r="E85" s="2">
        <v>2</v>
      </c>
      <c r="F85" s="2">
        <v>32.68</v>
      </c>
      <c r="G85" s="2">
        <v>5</v>
      </c>
    </row>
    <row r="86" spans="1:7" x14ac:dyDescent="0.2">
      <c r="A86" t="s">
        <v>11</v>
      </c>
      <c r="B86" t="s">
        <v>8</v>
      </c>
      <c r="C86" t="s">
        <v>23</v>
      </c>
      <c r="D86" t="s">
        <v>24</v>
      </c>
      <c r="E86" s="2">
        <v>2</v>
      </c>
      <c r="F86" s="2">
        <v>15.98</v>
      </c>
      <c r="G86" s="2">
        <v>2.0299999999999998</v>
      </c>
    </row>
    <row r="87" spans="1:7" x14ac:dyDescent="0.2">
      <c r="A87" t="s">
        <v>7</v>
      </c>
      <c r="B87" t="s">
        <v>8</v>
      </c>
      <c r="C87" t="s">
        <v>23</v>
      </c>
      <c r="D87" t="s">
        <v>24</v>
      </c>
      <c r="E87" s="2">
        <v>4</v>
      </c>
      <c r="F87" s="2">
        <v>34.83</v>
      </c>
      <c r="G87" s="2">
        <v>5.17</v>
      </c>
    </row>
    <row r="88" spans="1:7" x14ac:dyDescent="0.2">
      <c r="A88" t="s">
        <v>11</v>
      </c>
      <c r="B88" t="s">
        <v>8</v>
      </c>
      <c r="C88" t="s">
        <v>23</v>
      </c>
      <c r="D88" t="s">
        <v>24</v>
      </c>
      <c r="E88" s="2">
        <v>2</v>
      </c>
      <c r="F88" s="2">
        <v>13.03</v>
      </c>
      <c r="G88" s="2">
        <v>2</v>
      </c>
    </row>
    <row r="89" spans="1:7" x14ac:dyDescent="0.2">
      <c r="A89" t="s">
        <v>11</v>
      </c>
      <c r="B89" t="s">
        <v>8</v>
      </c>
      <c r="C89" t="s">
        <v>23</v>
      </c>
      <c r="D89" t="s">
        <v>24</v>
      </c>
      <c r="E89" s="2">
        <v>2</v>
      </c>
      <c r="F89" s="2">
        <v>18.28</v>
      </c>
      <c r="G89" s="2">
        <v>4</v>
      </c>
    </row>
    <row r="90" spans="1:7" x14ac:dyDescent="0.2">
      <c r="A90" t="s">
        <v>11</v>
      </c>
      <c r="B90" t="s">
        <v>8</v>
      </c>
      <c r="C90" t="s">
        <v>23</v>
      </c>
      <c r="D90" t="s">
        <v>24</v>
      </c>
      <c r="E90" s="2">
        <v>2</v>
      </c>
      <c r="F90" s="2">
        <v>24.71</v>
      </c>
      <c r="G90" s="2">
        <v>5.85</v>
      </c>
    </row>
    <row r="91" spans="1:7" x14ac:dyDescent="0.2">
      <c r="A91" t="s">
        <v>11</v>
      </c>
      <c r="B91" t="s">
        <v>8</v>
      </c>
      <c r="C91" t="s">
        <v>23</v>
      </c>
      <c r="D91" t="s">
        <v>24</v>
      </c>
      <c r="E91" s="2">
        <v>2</v>
      </c>
      <c r="F91" s="2">
        <v>21.16</v>
      </c>
      <c r="G91" s="2">
        <v>3</v>
      </c>
    </row>
    <row r="92" spans="1:7" x14ac:dyDescent="0.2">
      <c r="A92" t="s">
        <v>11</v>
      </c>
      <c r="B92" t="s">
        <v>22</v>
      </c>
      <c r="C92" t="s">
        <v>25</v>
      </c>
      <c r="D92" t="s">
        <v>10</v>
      </c>
      <c r="E92" s="2">
        <v>2</v>
      </c>
      <c r="F92" s="2">
        <v>28.97</v>
      </c>
      <c r="G92" s="2">
        <v>3</v>
      </c>
    </row>
    <row r="93" spans="1:7" x14ac:dyDescent="0.2">
      <c r="A93" t="s">
        <v>11</v>
      </c>
      <c r="B93" t="s">
        <v>8</v>
      </c>
      <c r="C93" t="s">
        <v>25</v>
      </c>
      <c r="D93" t="s">
        <v>10</v>
      </c>
      <c r="E93" s="2">
        <v>2</v>
      </c>
      <c r="F93" s="2">
        <v>22.49</v>
      </c>
      <c r="G93" s="2">
        <v>3.5</v>
      </c>
    </row>
    <row r="94" spans="1:7" x14ac:dyDescent="0.2">
      <c r="A94" t="s">
        <v>7</v>
      </c>
      <c r="B94" t="s">
        <v>22</v>
      </c>
      <c r="C94" t="s">
        <v>25</v>
      </c>
      <c r="D94" t="s">
        <v>10</v>
      </c>
      <c r="E94" s="2">
        <v>2</v>
      </c>
      <c r="F94" s="2">
        <v>5.75</v>
      </c>
      <c r="G94" s="2">
        <v>1</v>
      </c>
    </row>
    <row r="95" spans="1:7" x14ac:dyDescent="0.2">
      <c r="A95" t="s">
        <v>7</v>
      </c>
      <c r="B95" t="s">
        <v>22</v>
      </c>
      <c r="C95" t="s">
        <v>25</v>
      </c>
      <c r="D95" t="s">
        <v>10</v>
      </c>
      <c r="E95" s="2">
        <v>2</v>
      </c>
      <c r="F95" s="2">
        <v>16.32</v>
      </c>
      <c r="G95" s="2">
        <v>4.3</v>
      </c>
    </row>
    <row r="96" spans="1:7" x14ac:dyDescent="0.2">
      <c r="A96" t="s">
        <v>7</v>
      </c>
      <c r="B96" t="s">
        <v>8</v>
      </c>
      <c r="C96" t="s">
        <v>25</v>
      </c>
      <c r="D96" t="s">
        <v>10</v>
      </c>
      <c r="E96" s="2">
        <v>2</v>
      </c>
      <c r="F96" s="2">
        <v>22.75</v>
      </c>
      <c r="G96" s="2">
        <v>3.25</v>
      </c>
    </row>
    <row r="97" spans="1:7" x14ac:dyDescent="0.2">
      <c r="A97" t="s">
        <v>11</v>
      </c>
      <c r="B97" t="s">
        <v>22</v>
      </c>
      <c r="C97" t="s">
        <v>25</v>
      </c>
      <c r="D97" t="s">
        <v>10</v>
      </c>
      <c r="E97" s="2">
        <v>4</v>
      </c>
      <c r="F97" s="2">
        <v>40.17</v>
      </c>
      <c r="G97" s="2">
        <v>4.7300000000000004</v>
      </c>
    </row>
    <row r="98" spans="1:7" x14ac:dyDescent="0.2">
      <c r="A98" t="s">
        <v>11</v>
      </c>
      <c r="B98" t="s">
        <v>22</v>
      </c>
      <c r="C98" t="s">
        <v>25</v>
      </c>
      <c r="D98" t="s">
        <v>10</v>
      </c>
      <c r="E98" s="2">
        <v>2</v>
      </c>
      <c r="F98" s="2">
        <v>27.28</v>
      </c>
      <c r="G98" s="2">
        <v>4</v>
      </c>
    </row>
    <row r="99" spans="1:7" x14ac:dyDescent="0.2">
      <c r="A99" t="s">
        <v>11</v>
      </c>
      <c r="B99" t="s">
        <v>22</v>
      </c>
      <c r="C99" t="s">
        <v>25</v>
      </c>
      <c r="D99" t="s">
        <v>10</v>
      </c>
      <c r="E99" s="2">
        <v>2</v>
      </c>
      <c r="F99" s="2">
        <v>12.03</v>
      </c>
      <c r="G99" s="2">
        <v>1.5</v>
      </c>
    </row>
    <row r="100" spans="1:7" x14ac:dyDescent="0.2">
      <c r="A100" t="s">
        <v>11</v>
      </c>
      <c r="B100" t="s">
        <v>22</v>
      </c>
      <c r="C100" t="s">
        <v>25</v>
      </c>
      <c r="D100" t="s">
        <v>10</v>
      </c>
      <c r="E100" s="2">
        <v>2</v>
      </c>
      <c r="F100" s="2">
        <v>21.01</v>
      </c>
      <c r="G100" s="2">
        <v>3</v>
      </c>
    </row>
    <row r="101" spans="1:7" x14ac:dyDescent="0.2">
      <c r="A101" t="s">
        <v>11</v>
      </c>
      <c r="B101" t="s">
        <v>8</v>
      </c>
      <c r="C101" t="s">
        <v>25</v>
      </c>
      <c r="D101" t="s">
        <v>10</v>
      </c>
      <c r="E101" s="2">
        <v>2</v>
      </c>
      <c r="F101" s="2">
        <v>12.46</v>
      </c>
      <c r="G101" s="2">
        <v>1.5</v>
      </c>
    </row>
    <row r="102" spans="1:7" x14ac:dyDescent="0.2">
      <c r="A102" t="s">
        <v>7</v>
      </c>
      <c r="B102" t="s">
        <v>22</v>
      </c>
      <c r="C102" t="s">
        <v>25</v>
      </c>
      <c r="D102" t="s">
        <v>10</v>
      </c>
      <c r="E102" s="2">
        <v>2</v>
      </c>
      <c r="F102" s="2">
        <v>11.35</v>
      </c>
      <c r="G102" s="2">
        <v>2.5</v>
      </c>
    </row>
    <row r="103" spans="1:7" x14ac:dyDescent="0.2">
      <c r="A103" t="s">
        <v>7</v>
      </c>
      <c r="B103" t="s">
        <v>22</v>
      </c>
      <c r="C103" t="s">
        <v>25</v>
      </c>
      <c r="D103" t="s">
        <v>10</v>
      </c>
      <c r="E103" s="2">
        <v>2</v>
      </c>
      <c r="F103" s="2">
        <v>15.38</v>
      </c>
      <c r="G103" s="2">
        <v>3</v>
      </c>
    </row>
    <row r="104" spans="1:7" x14ac:dyDescent="0.2">
      <c r="A104" t="s">
        <v>7</v>
      </c>
      <c r="B104" t="s">
        <v>22</v>
      </c>
      <c r="C104" t="s">
        <v>21</v>
      </c>
      <c r="D104" t="s">
        <v>10</v>
      </c>
      <c r="E104" s="2">
        <v>3</v>
      </c>
      <c r="F104" s="2">
        <v>44.3</v>
      </c>
      <c r="G104" s="2">
        <v>2.5</v>
      </c>
    </row>
    <row r="105" spans="1:7" x14ac:dyDescent="0.2">
      <c r="A105" t="s">
        <v>7</v>
      </c>
      <c r="B105" t="s">
        <v>22</v>
      </c>
      <c r="C105" t="s">
        <v>21</v>
      </c>
      <c r="D105" t="s">
        <v>10</v>
      </c>
      <c r="E105" s="2">
        <v>2</v>
      </c>
      <c r="F105" s="2">
        <v>22.42</v>
      </c>
      <c r="G105" s="2">
        <v>3.48</v>
      </c>
    </row>
    <row r="106" spans="1:7" x14ac:dyDescent="0.2">
      <c r="A106" t="s">
        <v>7</v>
      </c>
      <c r="B106" t="s">
        <v>8</v>
      </c>
      <c r="C106" t="s">
        <v>21</v>
      </c>
      <c r="D106" t="s">
        <v>10</v>
      </c>
      <c r="E106" s="2">
        <v>2</v>
      </c>
      <c r="F106" s="2">
        <v>20.92</v>
      </c>
      <c r="G106" s="2">
        <v>4.08</v>
      </c>
    </row>
    <row r="107" spans="1:7" x14ac:dyDescent="0.2">
      <c r="A107" t="s">
        <v>11</v>
      </c>
      <c r="B107" t="s">
        <v>22</v>
      </c>
      <c r="C107" t="s">
        <v>21</v>
      </c>
      <c r="D107" t="s">
        <v>10</v>
      </c>
      <c r="E107" s="2">
        <v>2</v>
      </c>
      <c r="F107" s="2">
        <v>15.36</v>
      </c>
      <c r="G107" s="2">
        <v>1.64</v>
      </c>
    </row>
    <row r="108" spans="1:7" x14ac:dyDescent="0.2">
      <c r="A108" t="s">
        <v>11</v>
      </c>
      <c r="B108" t="s">
        <v>22</v>
      </c>
      <c r="C108" t="s">
        <v>21</v>
      </c>
      <c r="D108" t="s">
        <v>10</v>
      </c>
      <c r="E108" s="2">
        <v>2</v>
      </c>
      <c r="F108" s="2">
        <v>20.49</v>
      </c>
      <c r="G108" s="2">
        <v>4.0599999999999996</v>
      </c>
    </row>
    <row r="109" spans="1:7" x14ac:dyDescent="0.2">
      <c r="A109" t="s">
        <v>11</v>
      </c>
      <c r="B109" t="s">
        <v>22</v>
      </c>
      <c r="C109" t="s">
        <v>21</v>
      </c>
      <c r="D109" t="s">
        <v>10</v>
      </c>
      <c r="E109" s="2">
        <v>2</v>
      </c>
      <c r="F109" s="2">
        <v>25.21</v>
      </c>
      <c r="G109" s="2">
        <v>4.29</v>
      </c>
    </row>
    <row r="110" spans="1:7" x14ac:dyDescent="0.2">
      <c r="A110" t="s">
        <v>11</v>
      </c>
      <c r="B110" t="s">
        <v>8</v>
      </c>
      <c r="C110" t="s">
        <v>21</v>
      </c>
      <c r="D110" t="s">
        <v>10</v>
      </c>
      <c r="E110" s="2">
        <v>2</v>
      </c>
      <c r="F110" s="2">
        <v>18.239999999999998</v>
      </c>
      <c r="G110" s="2">
        <v>3.76</v>
      </c>
    </row>
    <row r="111" spans="1:7" x14ac:dyDescent="0.2">
      <c r="A111" t="s">
        <v>7</v>
      </c>
      <c r="B111" t="s">
        <v>22</v>
      </c>
      <c r="C111" t="s">
        <v>21</v>
      </c>
      <c r="D111" t="s">
        <v>10</v>
      </c>
      <c r="E111" s="2">
        <v>2</v>
      </c>
      <c r="F111" s="2">
        <v>14.31</v>
      </c>
      <c r="G111" s="2">
        <v>4</v>
      </c>
    </row>
    <row r="112" spans="1:7" x14ac:dyDescent="0.2">
      <c r="A112" t="s">
        <v>11</v>
      </c>
      <c r="B112" t="s">
        <v>8</v>
      </c>
      <c r="C112" t="s">
        <v>21</v>
      </c>
      <c r="D112" t="s">
        <v>10</v>
      </c>
      <c r="E112" s="2">
        <v>2</v>
      </c>
      <c r="F112" s="2">
        <v>14</v>
      </c>
      <c r="G112" s="2">
        <v>3</v>
      </c>
    </row>
    <row r="113" spans="1:7" x14ac:dyDescent="0.2">
      <c r="A113" t="s">
        <v>7</v>
      </c>
      <c r="B113" t="s">
        <v>8</v>
      </c>
      <c r="C113" t="s">
        <v>21</v>
      </c>
      <c r="D113" t="s">
        <v>10</v>
      </c>
      <c r="E113" s="2">
        <v>1</v>
      </c>
      <c r="F113" s="2">
        <v>7.25</v>
      </c>
      <c r="G113" s="2">
        <v>1</v>
      </c>
    </row>
    <row r="114" spans="1:7" x14ac:dyDescent="0.2">
      <c r="A114" t="s">
        <v>11</v>
      </c>
      <c r="B114" t="s">
        <v>8</v>
      </c>
      <c r="C114" t="s">
        <v>9</v>
      </c>
      <c r="D114" t="s">
        <v>10</v>
      </c>
      <c r="E114" s="2">
        <v>3</v>
      </c>
      <c r="F114" s="2">
        <v>38.07</v>
      </c>
      <c r="G114" s="2">
        <v>4</v>
      </c>
    </row>
    <row r="115" spans="1:7" x14ac:dyDescent="0.2">
      <c r="A115" t="s">
        <v>11</v>
      </c>
      <c r="B115" t="s">
        <v>8</v>
      </c>
      <c r="C115" t="s">
        <v>9</v>
      </c>
      <c r="D115" t="s">
        <v>10</v>
      </c>
      <c r="E115" s="2">
        <v>2</v>
      </c>
      <c r="F115" s="2">
        <v>23.95</v>
      </c>
      <c r="G115" s="2">
        <v>2.5499999999999998</v>
      </c>
    </row>
    <row r="116" spans="1:7" x14ac:dyDescent="0.2">
      <c r="A116" t="s">
        <v>7</v>
      </c>
      <c r="B116" t="s">
        <v>8</v>
      </c>
      <c r="C116" t="s">
        <v>9</v>
      </c>
      <c r="D116" t="s">
        <v>10</v>
      </c>
      <c r="E116" s="2">
        <v>3</v>
      </c>
      <c r="F116" s="2">
        <v>25.71</v>
      </c>
      <c r="G116" s="2">
        <v>4</v>
      </c>
    </row>
    <row r="117" spans="1:7" x14ac:dyDescent="0.2">
      <c r="A117" t="s">
        <v>7</v>
      </c>
      <c r="B117" t="s">
        <v>8</v>
      </c>
      <c r="C117" t="s">
        <v>9</v>
      </c>
      <c r="D117" t="s">
        <v>10</v>
      </c>
      <c r="E117" s="2">
        <v>2</v>
      </c>
      <c r="F117" s="2">
        <v>17.309999999999999</v>
      </c>
      <c r="G117" s="2">
        <v>3.5</v>
      </c>
    </row>
    <row r="118" spans="1:7" x14ac:dyDescent="0.2">
      <c r="A118" t="s">
        <v>11</v>
      </c>
      <c r="B118" t="s">
        <v>8</v>
      </c>
      <c r="C118" t="s">
        <v>9</v>
      </c>
      <c r="D118" t="s">
        <v>10</v>
      </c>
      <c r="E118" s="2">
        <v>4</v>
      </c>
      <c r="F118" s="2">
        <v>29.93</v>
      </c>
      <c r="G118" s="2">
        <v>5.07</v>
      </c>
    </row>
    <row r="119" spans="1:7" x14ac:dyDescent="0.2">
      <c r="A119" t="s">
        <v>7</v>
      </c>
      <c r="B119" t="s">
        <v>8</v>
      </c>
      <c r="C119" t="s">
        <v>23</v>
      </c>
      <c r="D119" t="s">
        <v>24</v>
      </c>
      <c r="E119" s="2">
        <v>2</v>
      </c>
      <c r="F119" s="2">
        <v>10.65</v>
      </c>
      <c r="G119" s="2">
        <v>1.5</v>
      </c>
    </row>
    <row r="120" spans="1:7" x14ac:dyDescent="0.2">
      <c r="A120" t="s">
        <v>7</v>
      </c>
      <c r="B120" t="s">
        <v>8</v>
      </c>
      <c r="C120" t="s">
        <v>23</v>
      </c>
      <c r="D120" t="s">
        <v>24</v>
      </c>
      <c r="E120" s="2">
        <v>2</v>
      </c>
      <c r="F120" s="2">
        <v>12.43</v>
      </c>
      <c r="G120" s="2">
        <v>1.8</v>
      </c>
    </row>
    <row r="121" spans="1:7" x14ac:dyDescent="0.2">
      <c r="A121" t="s">
        <v>7</v>
      </c>
      <c r="B121" t="s">
        <v>8</v>
      </c>
      <c r="C121" t="s">
        <v>23</v>
      </c>
      <c r="D121" t="s">
        <v>24</v>
      </c>
      <c r="E121" s="2">
        <v>4</v>
      </c>
      <c r="F121" s="2">
        <v>24.08</v>
      </c>
      <c r="G121" s="2">
        <v>2.92</v>
      </c>
    </row>
    <row r="122" spans="1:7" x14ac:dyDescent="0.2">
      <c r="A122" t="s">
        <v>11</v>
      </c>
      <c r="B122" t="s">
        <v>8</v>
      </c>
      <c r="C122" t="s">
        <v>23</v>
      </c>
      <c r="D122" t="s">
        <v>24</v>
      </c>
      <c r="E122" s="2">
        <v>2</v>
      </c>
      <c r="F122" s="2">
        <v>11.69</v>
      </c>
      <c r="G122" s="2">
        <v>2.31</v>
      </c>
    </row>
    <row r="123" spans="1:7" x14ac:dyDescent="0.2">
      <c r="A123" t="s">
        <v>7</v>
      </c>
      <c r="B123" t="s">
        <v>8</v>
      </c>
      <c r="C123" t="s">
        <v>23</v>
      </c>
      <c r="D123" t="s">
        <v>24</v>
      </c>
      <c r="E123" s="2">
        <v>2</v>
      </c>
      <c r="F123" s="2">
        <v>13.42</v>
      </c>
      <c r="G123" s="2">
        <v>1.68</v>
      </c>
    </row>
    <row r="124" spans="1:7" x14ac:dyDescent="0.2">
      <c r="A124" t="s">
        <v>11</v>
      </c>
      <c r="B124" t="s">
        <v>8</v>
      </c>
      <c r="C124" t="s">
        <v>23</v>
      </c>
      <c r="D124" t="s">
        <v>24</v>
      </c>
      <c r="E124" s="2">
        <v>2</v>
      </c>
      <c r="F124" s="2">
        <v>14.26</v>
      </c>
      <c r="G124" s="2">
        <v>2.5</v>
      </c>
    </row>
    <row r="125" spans="1:7" x14ac:dyDescent="0.2">
      <c r="A125" t="s">
        <v>11</v>
      </c>
      <c r="B125" t="s">
        <v>8</v>
      </c>
      <c r="C125" t="s">
        <v>23</v>
      </c>
      <c r="D125" t="s">
        <v>24</v>
      </c>
      <c r="E125" s="2">
        <v>2</v>
      </c>
      <c r="F125" s="2">
        <v>15.95</v>
      </c>
      <c r="G125" s="2">
        <v>2</v>
      </c>
    </row>
    <row r="126" spans="1:7" x14ac:dyDescent="0.2">
      <c r="A126" t="s">
        <v>7</v>
      </c>
      <c r="B126" t="s">
        <v>8</v>
      </c>
      <c r="C126" t="s">
        <v>23</v>
      </c>
      <c r="D126" t="s">
        <v>24</v>
      </c>
      <c r="E126" s="2">
        <v>2</v>
      </c>
      <c r="F126" s="2">
        <v>12.48</v>
      </c>
      <c r="G126" s="2">
        <v>2.52</v>
      </c>
    </row>
    <row r="127" spans="1:7" x14ac:dyDescent="0.2">
      <c r="A127" t="s">
        <v>7</v>
      </c>
      <c r="B127" t="s">
        <v>8</v>
      </c>
      <c r="C127" t="s">
        <v>23</v>
      </c>
      <c r="D127" t="s">
        <v>24</v>
      </c>
      <c r="E127" s="2">
        <v>6</v>
      </c>
      <c r="F127" s="2">
        <v>29.8</v>
      </c>
      <c r="G127" s="2">
        <v>4.2</v>
      </c>
    </row>
    <row r="128" spans="1:7" x14ac:dyDescent="0.2">
      <c r="A128" t="s">
        <v>11</v>
      </c>
      <c r="B128" t="s">
        <v>8</v>
      </c>
      <c r="C128" t="s">
        <v>23</v>
      </c>
      <c r="D128" t="s">
        <v>24</v>
      </c>
      <c r="E128" s="2">
        <v>2</v>
      </c>
      <c r="F128" s="2">
        <v>8.52</v>
      </c>
      <c r="G128" s="2">
        <v>1.48</v>
      </c>
    </row>
    <row r="129" spans="1:7" x14ac:dyDescent="0.2">
      <c r="A129" t="s">
        <v>7</v>
      </c>
      <c r="B129" t="s">
        <v>8</v>
      </c>
      <c r="C129" t="s">
        <v>23</v>
      </c>
      <c r="D129" t="s">
        <v>24</v>
      </c>
      <c r="E129" s="2">
        <v>2</v>
      </c>
      <c r="F129" s="2">
        <v>14.52</v>
      </c>
      <c r="G129" s="2">
        <v>2</v>
      </c>
    </row>
    <row r="130" spans="1:7" x14ac:dyDescent="0.2">
      <c r="A130" t="s">
        <v>7</v>
      </c>
      <c r="B130" t="s">
        <v>8</v>
      </c>
      <c r="C130" t="s">
        <v>23</v>
      </c>
      <c r="D130" t="s">
        <v>24</v>
      </c>
      <c r="E130" s="2">
        <v>2</v>
      </c>
      <c r="F130" s="2">
        <v>11.38</v>
      </c>
      <c r="G130" s="2">
        <v>2</v>
      </c>
    </row>
    <row r="131" spans="1:7" x14ac:dyDescent="0.2">
      <c r="A131" t="s">
        <v>11</v>
      </c>
      <c r="B131" t="s">
        <v>8</v>
      </c>
      <c r="C131" t="s">
        <v>23</v>
      </c>
      <c r="D131" t="s">
        <v>24</v>
      </c>
      <c r="E131" s="2">
        <v>3</v>
      </c>
      <c r="F131" s="2">
        <v>22.82</v>
      </c>
      <c r="G131" s="2">
        <v>2.1800000000000002</v>
      </c>
    </row>
    <row r="132" spans="1:7" x14ac:dyDescent="0.2">
      <c r="A132" t="s">
        <v>11</v>
      </c>
      <c r="B132" t="s">
        <v>8</v>
      </c>
      <c r="C132" t="s">
        <v>23</v>
      </c>
      <c r="D132" t="s">
        <v>24</v>
      </c>
      <c r="E132" s="2">
        <v>2</v>
      </c>
      <c r="F132" s="2">
        <v>19.079999999999998</v>
      </c>
      <c r="G132" s="2">
        <v>1.5</v>
      </c>
    </row>
    <row r="133" spans="1:7" x14ac:dyDescent="0.2">
      <c r="A133" t="s">
        <v>7</v>
      </c>
      <c r="B133" t="s">
        <v>8</v>
      </c>
      <c r="C133" t="s">
        <v>23</v>
      </c>
      <c r="D133" t="s">
        <v>24</v>
      </c>
      <c r="E133" s="2">
        <v>2</v>
      </c>
      <c r="F133" s="2">
        <v>20.27</v>
      </c>
      <c r="G133" s="2">
        <v>2.83</v>
      </c>
    </row>
    <row r="134" spans="1:7" x14ac:dyDescent="0.2">
      <c r="A134" t="s">
        <v>7</v>
      </c>
      <c r="B134" t="s">
        <v>8</v>
      </c>
      <c r="C134" t="s">
        <v>23</v>
      </c>
      <c r="D134" t="s">
        <v>24</v>
      </c>
      <c r="E134" s="2">
        <v>2</v>
      </c>
      <c r="F134" s="2">
        <v>11.17</v>
      </c>
      <c r="G134" s="2">
        <v>1.5</v>
      </c>
    </row>
    <row r="135" spans="1:7" x14ac:dyDescent="0.2">
      <c r="A135" t="s">
        <v>7</v>
      </c>
      <c r="B135" t="s">
        <v>8</v>
      </c>
      <c r="C135" t="s">
        <v>23</v>
      </c>
      <c r="D135" t="s">
        <v>24</v>
      </c>
      <c r="E135" s="2">
        <v>2</v>
      </c>
      <c r="F135" s="2">
        <v>12.26</v>
      </c>
      <c r="G135" s="2">
        <v>2</v>
      </c>
    </row>
    <row r="136" spans="1:7" x14ac:dyDescent="0.2">
      <c r="A136" t="s">
        <v>7</v>
      </c>
      <c r="B136" t="s">
        <v>8</v>
      </c>
      <c r="C136" t="s">
        <v>23</v>
      </c>
      <c r="D136" t="s">
        <v>24</v>
      </c>
      <c r="E136" s="2">
        <v>2</v>
      </c>
      <c r="F136" s="2">
        <v>18.260000000000002</v>
      </c>
      <c r="G136" s="2">
        <v>3.25</v>
      </c>
    </row>
    <row r="137" spans="1:7" x14ac:dyDescent="0.2">
      <c r="A137" t="s">
        <v>7</v>
      </c>
      <c r="B137" t="s">
        <v>8</v>
      </c>
      <c r="C137" t="s">
        <v>23</v>
      </c>
      <c r="D137" t="s">
        <v>24</v>
      </c>
      <c r="E137" s="2">
        <v>2</v>
      </c>
      <c r="F137" s="2">
        <v>8.51</v>
      </c>
      <c r="G137" s="2">
        <v>1.25</v>
      </c>
    </row>
    <row r="138" spans="1:7" x14ac:dyDescent="0.2">
      <c r="A138" t="s">
        <v>7</v>
      </c>
      <c r="B138" t="s">
        <v>8</v>
      </c>
      <c r="C138" t="s">
        <v>23</v>
      </c>
      <c r="D138" t="s">
        <v>24</v>
      </c>
      <c r="E138" s="2">
        <v>2</v>
      </c>
      <c r="F138" s="2">
        <v>10.33</v>
      </c>
      <c r="G138" s="2">
        <v>2</v>
      </c>
    </row>
    <row r="139" spans="1:7" x14ac:dyDescent="0.2">
      <c r="A139" t="s">
        <v>7</v>
      </c>
      <c r="B139" t="s">
        <v>8</v>
      </c>
      <c r="C139" t="s">
        <v>23</v>
      </c>
      <c r="D139" t="s">
        <v>24</v>
      </c>
      <c r="E139" s="2">
        <v>2</v>
      </c>
      <c r="F139" s="2">
        <v>14.15</v>
      </c>
      <c r="G139" s="2">
        <v>2</v>
      </c>
    </row>
    <row r="140" spans="1:7" x14ac:dyDescent="0.2">
      <c r="A140" t="s">
        <v>11</v>
      </c>
      <c r="B140" t="s">
        <v>22</v>
      </c>
      <c r="C140" t="s">
        <v>23</v>
      </c>
      <c r="D140" t="s">
        <v>24</v>
      </c>
      <c r="E140" s="2">
        <v>2</v>
      </c>
      <c r="F140" s="2">
        <v>16</v>
      </c>
      <c r="G140" s="2">
        <v>2</v>
      </c>
    </row>
    <row r="141" spans="1:7" x14ac:dyDescent="0.2">
      <c r="A141" t="s">
        <v>7</v>
      </c>
      <c r="B141" t="s">
        <v>8</v>
      </c>
      <c r="C141" t="s">
        <v>23</v>
      </c>
      <c r="D141" t="s">
        <v>24</v>
      </c>
      <c r="E141" s="2">
        <v>2</v>
      </c>
      <c r="F141" s="2">
        <v>13.16</v>
      </c>
      <c r="G141" s="2">
        <v>2.75</v>
      </c>
    </row>
    <row r="142" spans="1:7" x14ac:dyDescent="0.2">
      <c r="A142" t="s">
        <v>7</v>
      </c>
      <c r="B142" t="s">
        <v>8</v>
      </c>
      <c r="C142" t="s">
        <v>23</v>
      </c>
      <c r="D142" t="s">
        <v>24</v>
      </c>
      <c r="E142" s="2">
        <v>2</v>
      </c>
      <c r="F142" s="2">
        <v>17.47</v>
      </c>
      <c r="G142" s="2">
        <v>3.5</v>
      </c>
    </row>
    <row r="143" spans="1:7" x14ac:dyDescent="0.2">
      <c r="A143" t="s">
        <v>11</v>
      </c>
      <c r="B143" t="s">
        <v>8</v>
      </c>
      <c r="C143" t="s">
        <v>23</v>
      </c>
      <c r="D143" t="s">
        <v>24</v>
      </c>
      <c r="E143" s="2">
        <v>6</v>
      </c>
      <c r="F143" s="2">
        <v>34.299999999999997</v>
      </c>
      <c r="G143" s="2">
        <v>6.7</v>
      </c>
    </row>
    <row r="144" spans="1:7" x14ac:dyDescent="0.2">
      <c r="A144" t="s">
        <v>11</v>
      </c>
      <c r="B144" t="s">
        <v>8</v>
      </c>
      <c r="C144" t="s">
        <v>23</v>
      </c>
      <c r="D144" t="s">
        <v>24</v>
      </c>
      <c r="E144" s="2">
        <v>5</v>
      </c>
      <c r="F144" s="2">
        <v>41.19</v>
      </c>
      <c r="G144" s="2">
        <v>5</v>
      </c>
    </row>
    <row r="145" spans="1:7" x14ac:dyDescent="0.2">
      <c r="A145" t="s">
        <v>7</v>
      </c>
      <c r="B145" t="s">
        <v>8</v>
      </c>
      <c r="C145" t="s">
        <v>23</v>
      </c>
      <c r="D145" t="s">
        <v>24</v>
      </c>
      <c r="E145" s="2">
        <v>6</v>
      </c>
      <c r="F145" s="2">
        <v>27.05</v>
      </c>
      <c r="G145" s="2">
        <v>5</v>
      </c>
    </row>
    <row r="146" spans="1:7" x14ac:dyDescent="0.2">
      <c r="A146" t="s">
        <v>7</v>
      </c>
      <c r="B146" t="s">
        <v>8</v>
      </c>
      <c r="C146" t="s">
        <v>23</v>
      </c>
      <c r="D146" t="s">
        <v>24</v>
      </c>
      <c r="E146" s="2">
        <v>2</v>
      </c>
      <c r="F146" s="2">
        <v>16.43</v>
      </c>
      <c r="G146" s="2">
        <v>2.2999999999999998</v>
      </c>
    </row>
    <row r="147" spans="1:7" x14ac:dyDescent="0.2">
      <c r="A147" t="s">
        <v>7</v>
      </c>
      <c r="B147" t="s">
        <v>8</v>
      </c>
      <c r="C147" t="s">
        <v>23</v>
      </c>
      <c r="D147" t="s">
        <v>24</v>
      </c>
      <c r="E147" s="2">
        <v>2</v>
      </c>
      <c r="F147" s="2">
        <v>8.35</v>
      </c>
      <c r="G147" s="2">
        <v>1.5</v>
      </c>
    </row>
    <row r="148" spans="1:7" x14ac:dyDescent="0.2">
      <c r="A148" t="s">
        <v>7</v>
      </c>
      <c r="B148" t="s">
        <v>8</v>
      </c>
      <c r="C148" t="s">
        <v>23</v>
      </c>
      <c r="D148" t="s">
        <v>24</v>
      </c>
      <c r="E148" s="2">
        <v>3</v>
      </c>
      <c r="F148" s="2">
        <v>18.64</v>
      </c>
      <c r="G148" s="2">
        <v>1.36</v>
      </c>
    </row>
    <row r="149" spans="1:7" x14ac:dyDescent="0.2">
      <c r="A149" t="s">
        <v>7</v>
      </c>
      <c r="B149" t="s">
        <v>8</v>
      </c>
      <c r="C149" t="s">
        <v>23</v>
      </c>
      <c r="D149" t="s">
        <v>24</v>
      </c>
      <c r="E149" s="2">
        <v>2</v>
      </c>
      <c r="F149" s="2">
        <v>11.87</v>
      </c>
      <c r="G149" s="2">
        <v>1.63</v>
      </c>
    </row>
    <row r="150" spans="1:7" x14ac:dyDescent="0.2">
      <c r="A150" t="s">
        <v>11</v>
      </c>
      <c r="B150" t="s">
        <v>8</v>
      </c>
      <c r="C150" t="s">
        <v>23</v>
      </c>
      <c r="D150" t="s">
        <v>24</v>
      </c>
      <c r="E150" s="2">
        <v>2</v>
      </c>
      <c r="F150" s="2">
        <v>9.7799999999999994</v>
      </c>
      <c r="G150" s="2">
        <v>1.73</v>
      </c>
    </row>
    <row r="151" spans="1:7" x14ac:dyDescent="0.2">
      <c r="A151" t="s">
        <v>11</v>
      </c>
      <c r="B151" t="s">
        <v>8</v>
      </c>
      <c r="C151" t="s">
        <v>23</v>
      </c>
      <c r="D151" t="s">
        <v>24</v>
      </c>
      <c r="E151" s="2">
        <v>2</v>
      </c>
      <c r="F151" s="2">
        <v>7.51</v>
      </c>
      <c r="G151" s="2">
        <v>2</v>
      </c>
    </row>
    <row r="152" spans="1:7" x14ac:dyDescent="0.2">
      <c r="A152" t="s">
        <v>11</v>
      </c>
      <c r="B152" t="s">
        <v>8</v>
      </c>
      <c r="C152" t="s">
        <v>9</v>
      </c>
      <c r="D152" t="s">
        <v>10</v>
      </c>
      <c r="E152" s="2">
        <v>2</v>
      </c>
      <c r="F152" s="2">
        <v>14.07</v>
      </c>
      <c r="G152" s="2">
        <v>2.5</v>
      </c>
    </row>
    <row r="153" spans="1:7" x14ac:dyDescent="0.2">
      <c r="A153" t="s">
        <v>11</v>
      </c>
      <c r="B153" t="s">
        <v>8</v>
      </c>
      <c r="C153" t="s">
        <v>9</v>
      </c>
      <c r="D153" t="s">
        <v>10</v>
      </c>
      <c r="E153" s="2">
        <v>2</v>
      </c>
      <c r="F153" s="2">
        <v>13.13</v>
      </c>
      <c r="G153" s="2">
        <v>2</v>
      </c>
    </row>
    <row r="154" spans="1:7" x14ac:dyDescent="0.2">
      <c r="A154" t="s">
        <v>11</v>
      </c>
      <c r="B154" t="s">
        <v>8</v>
      </c>
      <c r="C154" t="s">
        <v>9</v>
      </c>
      <c r="D154" t="s">
        <v>10</v>
      </c>
      <c r="E154" s="2">
        <v>3</v>
      </c>
      <c r="F154" s="2">
        <v>17.260000000000002</v>
      </c>
      <c r="G154" s="2">
        <v>2.74</v>
      </c>
    </row>
    <row r="155" spans="1:7" x14ac:dyDescent="0.2">
      <c r="A155" t="s">
        <v>11</v>
      </c>
      <c r="B155" t="s">
        <v>8</v>
      </c>
      <c r="C155" t="s">
        <v>9</v>
      </c>
      <c r="D155" t="s">
        <v>10</v>
      </c>
      <c r="E155" s="2">
        <v>4</v>
      </c>
      <c r="F155" s="2">
        <v>24.55</v>
      </c>
      <c r="G155" s="2">
        <v>2</v>
      </c>
    </row>
    <row r="156" spans="1:7" x14ac:dyDescent="0.2">
      <c r="A156" t="s">
        <v>11</v>
      </c>
      <c r="B156" t="s">
        <v>8</v>
      </c>
      <c r="C156" t="s">
        <v>9</v>
      </c>
      <c r="D156" t="s">
        <v>10</v>
      </c>
      <c r="E156" s="2">
        <v>4</v>
      </c>
      <c r="F156" s="2">
        <v>19.77</v>
      </c>
      <c r="G156" s="2">
        <v>2</v>
      </c>
    </row>
    <row r="157" spans="1:7" x14ac:dyDescent="0.2">
      <c r="A157" t="s">
        <v>7</v>
      </c>
      <c r="B157" t="s">
        <v>8</v>
      </c>
      <c r="C157" t="s">
        <v>9</v>
      </c>
      <c r="D157" t="s">
        <v>10</v>
      </c>
      <c r="E157" s="2">
        <v>5</v>
      </c>
      <c r="F157" s="2">
        <v>29.85</v>
      </c>
      <c r="G157" s="2">
        <v>5.14</v>
      </c>
    </row>
    <row r="158" spans="1:7" x14ac:dyDescent="0.2">
      <c r="A158" t="s">
        <v>11</v>
      </c>
      <c r="B158" t="s">
        <v>8</v>
      </c>
      <c r="C158" t="s">
        <v>9</v>
      </c>
      <c r="D158" t="s">
        <v>10</v>
      </c>
      <c r="E158" s="2">
        <v>6</v>
      </c>
      <c r="F158" s="2">
        <v>48.17</v>
      </c>
      <c r="G158" s="2">
        <v>5</v>
      </c>
    </row>
    <row r="159" spans="1:7" x14ac:dyDescent="0.2">
      <c r="A159" t="s">
        <v>7</v>
      </c>
      <c r="B159" t="s">
        <v>8</v>
      </c>
      <c r="C159" t="s">
        <v>9</v>
      </c>
      <c r="D159" t="s">
        <v>10</v>
      </c>
      <c r="E159" s="2">
        <v>4</v>
      </c>
      <c r="F159" s="2">
        <v>25</v>
      </c>
      <c r="G159" s="2">
        <v>3.75</v>
      </c>
    </row>
    <row r="160" spans="1:7" x14ac:dyDescent="0.2">
      <c r="A160" t="s">
        <v>7</v>
      </c>
      <c r="B160" t="s">
        <v>8</v>
      </c>
      <c r="C160" t="s">
        <v>9</v>
      </c>
      <c r="D160" t="s">
        <v>10</v>
      </c>
      <c r="E160" s="2">
        <v>2</v>
      </c>
      <c r="F160" s="2">
        <v>13.39</v>
      </c>
      <c r="G160" s="2">
        <v>2.61</v>
      </c>
    </row>
    <row r="161" spans="1:7" x14ac:dyDescent="0.2">
      <c r="A161" t="s">
        <v>11</v>
      </c>
      <c r="B161" t="s">
        <v>8</v>
      </c>
      <c r="C161" t="s">
        <v>9</v>
      </c>
      <c r="D161" t="s">
        <v>10</v>
      </c>
      <c r="E161" s="2">
        <v>4</v>
      </c>
      <c r="F161" s="2">
        <v>16.489999999999998</v>
      </c>
      <c r="G161" s="2">
        <v>2</v>
      </c>
    </row>
    <row r="162" spans="1:7" x14ac:dyDescent="0.2">
      <c r="A162" t="s">
        <v>11</v>
      </c>
      <c r="B162" t="s">
        <v>8</v>
      </c>
      <c r="C162" t="s">
        <v>9</v>
      </c>
      <c r="D162" t="s">
        <v>10</v>
      </c>
      <c r="E162" s="2">
        <v>4</v>
      </c>
      <c r="F162" s="2">
        <v>21.5</v>
      </c>
      <c r="G162" s="2">
        <v>3.5</v>
      </c>
    </row>
    <row r="163" spans="1:7" x14ac:dyDescent="0.2">
      <c r="A163" t="s">
        <v>11</v>
      </c>
      <c r="B163" t="s">
        <v>8</v>
      </c>
      <c r="C163" t="s">
        <v>9</v>
      </c>
      <c r="D163" t="s">
        <v>10</v>
      </c>
      <c r="E163" s="2">
        <v>2</v>
      </c>
      <c r="F163" s="2">
        <v>12.66</v>
      </c>
      <c r="G163" s="2">
        <v>2.5</v>
      </c>
    </row>
    <row r="164" spans="1:7" x14ac:dyDescent="0.2">
      <c r="A164" t="s">
        <v>7</v>
      </c>
      <c r="B164" t="s">
        <v>8</v>
      </c>
      <c r="C164" t="s">
        <v>9</v>
      </c>
      <c r="D164" t="s">
        <v>10</v>
      </c>
      <c r="E164" s="2">
        <v>3</v>
      </c>
      <c r="F164" s="2">
        <v>16.21</v>
      </c>
      <c r="G164" s="2">
        <v>2</v>
      </c>
    </row>
    <row r="165" spans="1:7" x14ac:dyDescent="0.2">
      <c r="A165" t="s">
        <v>11</v>
      </c>
      <c r="B165" t="s">
        <v>8</v>
      </c>
      <c r="C165" t="s">
        <v>9</v>
      </c>
      <c r="D165" t="s">
        <v>10</v>
      </c>
      <c r="E165" s="2">
        <v>2</v>
      </c>
      <c r="F165" s="2">
        <v>13.81</v>
      </c>
      <c r="G165" s="2">
        <v>2</v>
      </c>
    </row>
    <row r="166" spans="1:7" x14ac:dyDescent="0.2">
      <c r="A166" t="s">
        <v>7</v>
      </c>
      <c r="B166" t="s">
        <v>22</v>
      </c>
      <c r="C166" t="s">
        <v>9</v>
      </c>
      <c r="D166" t="s">
        <v>10</v>
      </c>
      <c r="E166" s="2">
        <v>2</v>
      </c>
      <c r="F166" s="2">
        <v>17.510000000000002</v>
      </c>
      <c r="G166" s="2">
        <v>3</v>
      </c>
    </row>
    <row r="167" spans="1:7" x14ac:dyDescent="0.2">
      <c r="A167" t="s">
        <v>11</v>
      </c>
      <c r="B167" t="s">
        <v>8</v>
      </c>
      <c r="C167" t="s">
        <v>9</v>
      </c>
      <c r="D167" t="s">
        <v>10</v>
      </c>
      <c r="E167" s="2">
        <v>3</v>
      </c>
      <c r="F167" s="2">
        <v>24.52</v>
      </c>
      <c r="G167" s="2">
        <v>3.48</v>
      </c>
    </row>
    <row r="168" spans="1:7" x14ac:dyDescent="0.2">
      <c r="A168" t="s">
        <v>11</v>
      </c>
      <c r="B168" t="s">
        <v>8</v>
      </c>
      <c r="C168" t="s">
        <v>9</v>
      </c>
      <c r="D168" t="s">
        <v>10</v>
      </c>
      <c r="E168" s="2">
        <v>2</v>
      </c>
      <c r="F168" s="2">
        <v>20.76</v>
      </c>
      <c r="G168" s="2">
        <v>2.2400000000000002</v>
      </c>
    </row>
    <row r="169" spans="1:7" x14ac:dyDescent="0.2">
      <c r="A169" t="s">
        <v>11</v>
      </c>
      <c r="B169" t="s">
        <v>8</v>
      </c>
      <c r="C169" t="s">
        <v>9</v>
      </c>
      <c r="D169" t="s">
        <v>10</v>
      </c>
      <c r="E169" s="2">
        <v>4</v>
      </c>
      <c r="F169" s="2">
        <v>31.71</v>
      </c>
      <c r="G169" s="2">
        <v>4.5</v>
      </c>
    </row>
    <row r="170" spans="1:7" x14ac:dyDescent="0.2">
      <c r="A170" t="s">
        <v>7</v>
      </c>
      <c r="B170" t="s">
        <v>22</v>
      </c>
      <c r="C170" t="s">
        <v>21</v>
      </c>
      <c r="D170" t="s">
        <v>10</v>
      </c>
      <c r="E170" s="2">
        <v>2</v>
      </c>
      <c r="F170" s="2">
        <v>10.59</v>
      </c>
      <c r="G170" s="2">
        <v>1.61</v>
      </c>
    </row>
    <row r="171" spans="1:7" x14ac:dyDescent="0.2">
      <c r="A171" t="s">
        <v>7</v>
      </c>
      <c r="B171" t="s">
        <v>22</v>
      </c>
      <c r="C171" t="s">
        <v>21</v>
      </c>
      <c r="D171" t="s">
        <v>10</v>
      </c>
      <c r="E171" s="2">
        <v>2</v>
      </c>
      <c r="F171" s="2">
        <v>10.63</v>
      </c>
      <c r="G171" s="2">
        <v>2</v>
      </c>
    </row>
    <row r="172" spans="1:7" x14ac:dyDescent="0.2">
      <c r="A172" t="s">
        <v>11</v>
      </c>
      <c r="B172" t="s">
        <v>22</v>
      </c>
      <c r="C172" t="s">
        <v>21</v>
      </c>
      <c r="D172" t="s">
        <v>10</v>
      </c>
      <c r="E172" s="2">
        <v>3</v>
      </c>
      <c r="F172" s="2">
        <v>50.81</v>
      </c>
      <c r="G172" s="2">
        <v>10</v>
      </c>
    </row>
    <row r="173" spans="1:7" x14ac:dyDescent="0.2">
      <c r="A173" t="s">
        <v>11</v>
      </c>
      <c r="B173" t="s">
        <v>22</v>
      </c>
      <c r="C173" t="s">
        <v>21</v>
      </c>
      <c r="D173" t="s">
        <v>10</v>
      </c>
      <c r="E173" s="2">
        <v>2</v>
      </c>
      <c r="F173" s="2">
        <v>15.81</v>
      </c>
      <c r="G173" s="2">
        <v>3.16</v>
      </c>
    </row>
    <row r="174" spans="1:7" x14ac:dyDescent="0.2">
      <c r="A174" t="s">
        <v>11</v>
      </c>
      <c r="B174" t="s">
        <v>22</v>
      </c>
      <c r="C174" t="s">
        <v>9</v>
      </c>
      <c r="D174" t="s">
        <v>10</v>
      </c>
      <c r="E174" s="2">
        <v>2</v>
      </c>
      <c r="F174" s="2">
        <v>7.25</v>
      </c>
      <c r="G174" s="2">
        <v>5.15</v>
      </c>
    </row>
    <row r="175" spans="1:7" x14ac:dyDescent="0.2">
      <c r="A175" t="s">
        <v>11</v>
      </c>
      <c r="B175" t="s">
        <v>22</v>
      </c>
      <c r="C175" t="s">
        <v>9</v>
      </c>
      <c r="D175" t="s">
        <v>10</v>
      </c>
      <c r="E175" s="2">
        <v>2</v>
      </c>
      <c r="F175" s="2">
        <v>31.85</v>
      </c>
      <c r="G175" s="2">
        <v>3.18</v>
      </c>
    </row>
    <row r="176" spans="1:7" x14ac:dyDescent="0.2">
      <c r="A176" t="s">
        <v>11</v>
      </c>
      <c r="B176" t="s">
        <v>22</v>
      </c>
      <c r="C176" t="s">
        <v>9</v>
      </c>
      <c r="D176" t="s">
        <v>10</v>
      </c>
      <c r="E176" s="2">
        <v>2</v>
      </c>
      <c r="F176" s="2">
        <v>16.82</v>
      </c>
      <c r="G176" s="2">
        <v>4</v>
      </c>
    </row>
    <row r="177" spans="1:7" x14ac:dyDescent="0.2">
      <c r="A177" t="s">
        <v>11</v>
      </c>
      <c r="B177" t="s">
        <v>22</v>
      </c>
      <c r="C177" t="s">
        <v>9</v>
      </c>
      <c r="D177" t="s">
        <v>10</v>
      </c>
      <c r="E177" s="2">
        <v>2</v>
      </c>
      <c r="F177" s="2">
        <v>32.9</v>
      </c>
      <c r="G177" s="2">
        <v>3.11</v>
      </c>
    </row>
    <row r="178" spans="1:7" x14ac:dyDescent="0.2">
      <c r="A178" t="s">
        <v>11</v>
      </c>
      <c r="B178" t="s">
        <v>22</v>
      </c>
      <c r="C178" t="s">
        <v>9</v>
      </c>
      <c r="D178" t="s">
        <v>10</v>
      </c>
      <c r="E178" s="2">
        <v>2</v>
      </c>
      <c r="F178" s="2">
        <v>17.89</v>
      </c>
      <c r="G178" s="2">
        <v>2</v>
      </c>
    </row>
    <row r="179" spans="1:7" x14ac:dyDescent="0.2">
      <c r="A179" t="s">
        <v>11</v>
      </c>
      <c r="B179" t="s">
        <v>22</v>
      </c>
      <c r="C179" t="s">
        <v>9</v>
      </c>
      <c r="D179" t="s">
        <v>10</v>
      </c>
      <c r="E179" s="2">
        <v>2</v>
      </c>
      <c r="F179" s="2">
        <v>14.48</v>
      </c>
      <c r="G179" s="2">
        <v>2</v>
      </c>
    </row>
    <row r="180" spans="1:7" x14ac:dyDescent="0.2">
      <c r="A180" t="s">
        <v>7</v>
      </c>
      <c r="B180" t="s">
        <v>22</v>
      </c>
      <c r="C180" t="s">
        <v>9</v>
      </c>
      <c r="D180" t="s">
        <v>10</v>
      </c>
      <c r="E180" s="2">
        <v>2</v>
      </c>
      <c r="F180" s="2">
        <v>9.6</v>
      </c>
      <c r="G180" s="2">
        <v>4</v>
      </c>
    </row>
    <row r="181" spans="1:7" x14ac:dyDescent="0.2">
      <c r="A181" t="s">
        <v>11</v>
      </c>
      <c r="B181" t="s">
        <v>22</v>
      </c>
      <c r="C181" t="s">
        <v>9</v>
      </c>
      <c r="D181" t="s">
        <v>10</v>
      </c>
      <c r="E181" s="2">
        <v>2</v>
      </c>
      <c r="F181" s="2">
        <v>34.630000000000003</v>
      </c>
      <c r="G181" s="2">
        <v>3.55</v>
      </c>
    </row>
    <row r="182" spans="1:7" x14ac:dyDescent="0.2">
      <c r="A182" t="s">
        <v>11</v>
      </c>
      <c r="B182" t="s">
        <v>22</v>
      </c>
      <c r="C182" t="s">
        <v>9</v>
      </c>
      <c r="D182" t="s">
        <v>10</v>
      </c>
      <c r="E182" s="2">
        <v>4</v>
      </c>
      <c r="F182" s="2">
        <v>34.65</v>
      </c>
      <c r="G182" s="2">
        <v>3.68</v>
      </c>
    </row>
    <row r="183" spans="1:7" x14ac:dyDescent="0.2">
      <c r="A183" t="s">
        <v>11</v>
      </c>
      <c r="B183" t="s">
        <v>22</v>
      </c>
      <c r="C183" t="s">
        <v>9</v>
      </c>
      <c r="D183" t="s">
        <v>10</v>
      </c>
      <c r="E183" s="2">
        <v>2</v>
      </c>
      <c r="F183" s="2">
        <v>23.33</v>
      </c>
      <c r="G183" s="2">
        <v>5.65</v>
      </c>
    </row>
    <row r="184" spans="1:7" x14ac:dyDescent="0.2">
      <c r="A184" t="s">
        <v>11</v>
      </c>
      <c r="B184" t="s">
        <v>22</v>
      </c>
      <c r="C184" t="s">
        <v>9</v>
      </c>
      <c r="D184" t="s">
        <v>10</v>
      </c>
      <c r="E184" s="2">
        <v>3</v>
      </c>
      <c r="F184" s="2">
        <v>45.35</v>
      </c>
      <c r="G184" s="2">
        <v>3.5</v>
      </c>
    </row>
    <row r="185" spans="1:7" x14ac:dyDescent="0.2">
      <c r="A185" t="s">
        <v>11</v>
      </c>
      <c r="B185" t="s">
        <v>22</v>
      </c>
      <c r="C185" t="s">
        <v>9</v>
      </c>
      <c r="D185" t="s">
        <v>10</v>
      </c>
      <c r="E185" s="2">
        <v>4</v>
      </c>
      <c r="F185" s="2">
        <v>23.17</v>
      </c>
      <c r="G185" s="2">
        <v>6.5</v>
      </c>
    </row>
    <row r="186" spans="1:7" x14ac:dyDescent="0.2">
      <c r="A186" t="s">
        <v>11</v>
      </c>
      <c r="B186" t="s">
        <v>22</v>
      </c>
      <c r="C186" t="s">
        <v>9</v>
      </c>
      <c r="D186" t="s">
        <v>10</v>
      </c>
      <c r="E186" s="2">
        <v>2</v>
      </c>
      <c r="F186" s="2">
        <v>40.549999999999997</v>
      </c>
      <c r="G186" s="2">
        <v>3</v>
      </c>
    </row>
    <row r="187" spans="1:7" x14ac:dyDescent="0.2">
      <c r="A187" t="s">
        <v>11</v>
      </c>
      <c r="B187" t="s">
        <v>8</v>
      </c>
      <c r="C187" t="s">
        <v>9</v>
      </c>
      <c r="D187" t="s">
        <v>10</v>
      </c>
      <c r="E187" s="2">
        <v>5</v>
      </c>
      <c r="F187" s="2">
        <v>20.69</v>
      </c>
      <c r="G187" s="2">
        <v>5</v>
      </c>
    </row>
    <row r="188" spans="1:7" x14ac:dyDescent="0.2">
      <c r="A188" t="s">
        <v>7</v>
      </c>
      <c r="B188" t="s">
        <v>22</v>
      </c>
      <c r="C188" t="s">
        <v>9</v>
      </c>
      <c r="D188" t="s">
        <v>10</v>
      </c>
      <c r="E188" s="2">
        <v>3</v>
      </c>
      <c r="F188" s="2">
        <v>20.9</v>
      </c>
      <c r="G188" s="2">
        <v>3.5</v>
      </c>
    </row>
    <row r="189" spans="1:7" x14ac:dyDescent="0.2">
      <c r="A189" t="s">
        <v>11</v>
      </c>
      <c r="B189" t="s">
        <v>22</v>
      </c>
      <c r="C189" t="s">
        <v>9</v>
      </c>
      <c r="D189" t="s">
        <v>10</v>
      </c>
      <c r="E189" s="2">
        <v>5</v>
      </c>
      <c r="F189" s="2">
        <v>30.46</v>
      </c>
      <c r="G189" s="2">
        <v>2</v>
      </c>
    </row>
    <row r="190" spans="1:7" x14ac:dyDescent="0.2">
      <c r="A190" t="s">
        <v>7</v>
      </c>
      <c r="B190" t="s">
        <v>22</v>
      </c>
      <c r="C190" t="s">
        <v>9</v>
      </c>
      <c r="D190" t="s">
        <v>10</v>
      </c>
      <c r="E190" s="2">
        <v>3</v>
      </c>
      <c r="F190" s="2">
        <v>18.149999999999999</v>
      </c>
      <c r="G190" s="2">
        <v>3.5</v>
      </c>
    </row>
    <row r="191" spans="1:7" x14ac:dyDescent="0.2">
      <c r="A191" t="s">
        <v>11</v>
      </c>
      <c r="B191" t="s">
        <v>22</v>
      </c>
      <c r="C191" t="s">
        <v>9</v>
      </c>
      <c r="D191" t="s">
        <v>10</v>
      </c>
      <c r="E191" s="2">
        <v>3</v>
      </c>
      <c r="F191" s="2">
        <v>23.1</v>
      </c>
      <c r="G191" s="2">
        <v>4</v>
      </c>
    </row>
    <row r="192" spans="1:7" x14ac:dyDescent="0.2">
      <c r="A192" t="s">
        <v>11</v>
      </c>
      <c r="B192" t="s">
        <v>22</v>
      </c>
      <c r="C192" t="s">
        <v>9</v>
      </c>
      <c r="D192" t="s">
        <v>10</v>
      </c>
      <c r="E192" s="2">
        <v>2</v>
      </c>
      <c r="F192" s="2">
        <v>15.69</v>
      </c>
      <c r="G192" s="2">
        <v>1.5</v>
      </c>
    </row>
    <row r="193" spans="1:7" x14ac:dyDescent="0.2">
      <c r="A193" t="s">
        <v>7</v>
      </c>
      <c r="B193" t="s">
        <v>22</v>
      </c>
      <c r="C193" t="s">
        <v>23</v>
      </c>
      <c r="D193" t="s">
        <v>24</v>
      </c>
      <c r="E193" s="2">
        <v>2</v>
      </c>
      <c r="F193" s="2">
        <v>19.809999999999999</v>
      </c>
      <c r="G193" s="2">
        <v>4.1900000000000004</v>
      </c>
    </row>
    <row r="194" spans="1:7" x14ac:dyDescent="0.2">
      <c r="A194" t="s">
        <v>11</v>
      </c>
      <c r="B194" t="s">
        <v>22</v>
      </c>
      <c r="C194" t="s">
        <v>23</v>
      </c>
      <c r="D194" t="s">
        <v>24</v>
      </c>
      <c r="E194" s="2">
        <v>2</v>
      </c>
      <c r="F194" s="2">
        <v>28.44</v>
      </c>
      <c r="G194" s="2">
        <v>2.56</v>
      </c>
    </row>
    <row r="195" spans="1:7" x14ac:dyDescent="0.2">
      <c r="A195" t="s">
        <v>11</v>
      </c>
      <c r="B195" t="s">
        <v>22</v>
      </c>
      <c r="C195" t="s">
        <v>23</v>
      </c>
      <c r="D195" t="s">
        <v>24</v>
      </c>
      <c r="E195" s="2">
        <v>2</v>
      </c>
      <c r="F195" s="2">
        <v>15.48</v>
      </c>
      <c r="G195" s="2">
        <v>2.02</v>
      </c>
    </row>
    <row r="196" spans="1:7" x14ac:dyDescent="0.2">
      <c r="A196" t="s">
        <v>11</v>
      </c>
      <c r="B196" t="s">
        <v>22</v>
      </c>
      <c r="C196" t="s">
        <v>23</v>
      </c>
      <c r="D196" t="s">
        <v>24</v>
      </c>
      <c r="E196" s="2">
        <v>2</v>
      </c>
      <c r="F196" s="2">
        <v>16.579999999999998</v>
      </c>
      <c r="G196" s="2">
        <v>4</v>
      </c>
    </row>
    <row r="197" spans="1:7" x14ac:dyDescent="0.2">
      <c r="A197" t="s">
        <v>11</v>
      </c>
      <c r="B197" t="s">
        <v>8</v>
      </c>
      <c r="C197" t="s">
        <v>23</v>
      </c>
      <c r="D197" t="s">
        <v>24</v>
      </c>
      <c r="E197" s="2">
        <v>2</v>
      </c>
      <c r="F197" s="2">
        <v>7.56</v>
      </c>
      <c r="G197" s="2">
        <v>1.44</v>
      </c>
    </row>
    <row r="198" spans="1:7" x14ac:dyDescent="0.2">
      <c r="A198" t="s">
        <v>11</v>
      </c>
      <c r="B198" t="s">
        <v>22</v>
      </c>
      <c r="C198" t="s">
        <v>23</v>
      </c>
      <c r="D198" t="s">
        <v>24</v>
      </c>
      <c r="E198" s="2">
        <v>2</v>
      </c>
      <c r="F198" s="2">
        <v>10.34</v>
      </c>
      <c r="G198" s="2">
        <v>2</v>
      </c>
    </row>
    <row r="199" spans="1:7" x14ac:dyDescent="0.2">
      <c r="A199" t="s">
        <v>7</v>
      </c>
      <c r="B199" t="s">
        <v>22</v>
      </c>
      <c r="C199" t="s">
        <v>23</v>
      </c>
      <c r="D199" t="s">
        <v>24</v>
      </c>
      <c r="E199" s="2">
        <v>4</v>
      </c>
      <c r="F199" s="2">
        <v>43.11</v>
      </c>
      <c r="G199" s="2">
        <v>5</v>
      </c>
    </row>
    <row r="200" spans="1:7" x14ac:dyDescent="0.2">
      <c r="A200" t="s">
        <v>7</v>
      </c>
      <c r="B200" t="s">
        <v>22</v>
      </c>
      <c r="C200" t="s">
        <v>23</v>
      </c>
      <c r="D200" t="s">
        <v>24</v>
      </c>
      <c r="E200" s="2">
        <v>2</v>
      </c>
      <c r="F200" s="2">
        <v>13</v>
      </c>
      <c r="G200" s="2">
        <v>2</v>
      </c>
    </row>
    <row r="201" spans="1:7" x14ac:dyDescent="0.2">
      <c r="A201" t="s">
        <v>11</v>
      </c>
      <c r="B201" t="s">
        <v>22</v>
      </c>
      <c r="C201" t="s">
        <v>23</v>
      </c>
      <c r="D201" t="s">
        <v>24</v>
      </c>
      <c r="E201" s="2">
        <v>2</v>
      </c>
      <c r="F201" s="2">
        <v>13.51</v>
      </c>
      <c r="G201" s="2">
        <v>2</v>
      </c>
    </row>
    <row r="202" spans="1:7" x14ac:dyDescent="0.2">
      <c r="A202" t="s">
        <v>11</v>
      </c>
      <c r="B202" t="s">
        <v>22</v>
      </c>
      <c r="C202" t="s">
        <v>23</v>
      </c>
      <c r="D202" t="s">
        <v>24</v>
      </c>
      <c r="E202" s="2">
        <v>3</v>
      </c>
      <c r="F202" s="2">
        <v>18.71</v>
      </c>
      <c r="G202" s="2">
        <v>4</v>
      </c>
    </row>
    <row r="203" spans="1:7" x14ac:dyDescent="0.2">
      <c r="A203" t="s">
        <v>7</v>
      </c>
      <c r="B203" t="s">
        <v>22</v>
      </c>
      <c r="C203" t="s">
        <v>23</v>
      </c>
      <c r="D203" t="s">
        <v>24</v>
      </c>
      <c r="E203" s="2">
        <v>2</v>
      </c>
      <c r="F203" s="2">
        <v>12.74</v>
      </c>
      <c r="G203" s="2">
        <v>2.0099999999999998</v>
      </c>
    </row>
    <row r="204" spans="1:7" x14ac:dyDescent="0.2">
      <c r="A204" t="s">
        <v>7</v>
      </c>
      <c r="B204" t="s">
        <v>22</v>
      </c>
      <c r="C204" t="s">
        <v>23</v>
      </c>
      <c r="D204" t="s">
        <v>24</v>
      </c>
      <c r="E204" s="2">
        <v>2</v>
      </c>
      <c r="F204" s="2">
        <v>16.399999999999999</v>
      </c>
      <c r="G204" s="2">
        <v>2.5</v>
      </c>
    </row>
    <row r="205" spans="1:7" x14ac:dyDescent="0.2">
      <c r="A205" t="s">
        <v>11</v>
      </c>
      <c r="B205" t="s">
        <v>22</v>
      </c>
      <c r="C205" t="s">
        <v>23</v>
      </c>
      <c r="D205" t="s">
        <v>24</v>
      </c>
      <c r="E205" s="2">
        <v>4</v>
      </c>
      <c r="F205" s="2">
        <v>20.53</v>
      </c>
      <c r="G205" s="2">
        <v>4</v>
      </c>
    </row>
    <row r="206" spans="1:7" x14ac:dyDescent="0.2">
      <c r="A206" t="s">
        <v>7</v>
      </c>
      <c r="B206" t="s">
        <v>22</v>
      </c>
      <c r="C206" t="s">
        <v>23</v>
      </c>
      <c r="D206" t="s">
        <v>24</v>
      </c>
      <c r="E206" s="2">
        <v>3</v>
      </c>
      <c r="F206" s="2">
        <v>16.47</v>
      </c>
      <c r="G206" s="2">
        <v>3.23</v>
      </c>
    </row>
    <row r="207" spans="1:7" x14ac:dyDescent="0.2">
      <c r="A207" t="s">
        <v>11</v>
      </c>
      <c r="B207" t="s">
        <v>22</v>
      </c>
      <c r="C207" t="s">
        <v>21</v>
      </c>
      <c r="D207" t="s">
        <v>10</v>
      </c>
      <c r="E207" s="2">
        <v>3</v>
      </c>
      <c r="F207" s="2">
        <v>26.59</v>
      </c>
      <c r="G207" s="2">
        <v>3.41</v>
      </c>
    </row>
    <row r="208" spans="1:7" x14ac:dyDescent="0.2">
      <c r="A208" t="s">
        <v>11</v>
      </c>
      <c r="B208" t="s">
        <v>22</v>
      </c>
      <c r="C208" t="s">
        <v>21</v>
      </c>
      <c r="D208" t="s">
        <v>10</v>
      </c>
      <c r="E208" s="2">
        <v>4</v>
      </c>
      <c r="F208" s="2">
        <v>38.729999999999997</v>
      </c>
      <c r="G208" s="2">
        <v>3</v>
      </c>
    </row>
    <row r="209" spans="1:7" x14ac:dyDescent="0.2">
      <c r="A209" t="s">
        <v>11</v>
      </c>
      <c r="B209" t="s">
        <v>22</v>
      </c>
      <c r="C209" t="s">
        <v>21</v>
      </c>
      <c r="D209" t="s">
        <v>10</v>
      </c>
      <c r="E209" s="2">
        <v>2</v>
      </c>
      <c r="F209" s="2">
        <v>24.27</v>
      </c>
      <c r="G209" s="2">
        <v>2.0299999999999998</v>
      </c>
    </row>
    <row r="210" spans="1:7" x14ac:dyDescent="0.2">
      <c r="A210" t="s">
        <v>7</v>
      </c>
      <c r="B210" t="s">
        <v>22</v>
      </c>
      <c r="C210" t="s">
        <v>21</v>
      </c>
      <c r="D210" t="s">
        <v>10</v>
      </c>
      <c r="E210" s="2">
        <v>2</v>
      </c>
      <c r="F210" s="2">
        <v>12.76</v>
      </c>
      <c r="G210" s="2">
        <v>2.23</v>
      </c>
    </row>
    <row r="211" spans="1:7" x14ac:dyDescent="0.2">
      <c r="A211" t="s">
        <v>11</v>
      </c>
      <c r="B211" t="s">
        <v>22</v>
      </c>
      <c r="C211" t="s">
        <v>21</v>
      </c>
      <c r="D211" t="s">
        <v>10</v>
      </c>
      <c r="E211" s="2">
        <v>3</v>
      </c>
      <c r="F211" s="2">
        <v>30.06</v>
      </c>
      <c r="G211" s="2">
        <v>2</v>
      </c>
    </row>
    <row r="212" spans="1:7" x14ac:dyDescent="0.2">
      <c r="A212" t="s">
        <v>11</v>
      </c>
      <c r="B212" t="s">
        <v>22</v>
      </c>
      <c r="C212" t="s">
        <v>21</v>
      </c>
      <c r="D212" t="s">
        <v>10</v>
      </c>
      <c r="E212" s="2">
        <v>4</v>
      </c>
      <c r="F212" s="2">
        <v>25.89</v>
      </c>
      <c r="G212" s="2">
        <v>5.16</v>
      </c>
    </row>
    <row r="213" spans="1:7" x14ac:dyDescent="0.2">
      <c r="A213" t="s">
        <v>11</v>
      </c>
      <c r="B213" t="s">
        <v>8</v>
      </c>
      <c r="C213" t="s">
        <v>21</v>
      </c>
      <c r="D213" t="s">
        <v>10</v>
      </c>
      <c r="E213" s="2">
        <v>4</v>
      </c>
      <c r="F213" s="2">
        <v>48.33</v>
      </c>
      <c r="G213" s="2">
        <v>9</v>
      </c>
    </row>
    <row r="214" spans="1:7" x14ac:dyDescent="0.2">
      <c r="A214" t="s">
        <v>7</v>
      </c>
      <c r="B214" t="s">
        <v>22</v>
      </c>
      <c r="C214" t="s">
        <v>21</v>
      </c>
      <c r="D214" t="s">
        <v>10</v>
      </c>
      <c r="E214" s="2">
        <v>2</v>
      </c>
      <c r="F214" s="2">
        <v>13.27</v>
      </c>
      <c r="G214" s="2">
        <v>2.5</v>
      </c>
    </row>
    <row r="215" spans="1:7" x14ac:dyDescent="0.2">
      <c r="A215" t="s">
        <v>7</v>
      </c>
      <c r="B215" t="s">
        <v>22</v>
      </c>
      <c r="C215" t="s">
        <v>21</v>
      </c>
      <c r="D215" t="s">
        <v>10</v>
      </c>
      <c r="E215" s="2">
        <v>3</v>
      </c>
      <c r="F215" s="2">
        <v>28.17</v>
      </c>
      <c r="G215" s="2">
        <v>6.5</v>
      </c>
    </row>
    <row r="216" spans="1:7" x14ac:dyDescent="0.2">
      <c r="A216" t="s">
        <v>7</v>
      </c>
      <c r="B216" t="s">
        <v>22</v>
      </c>
      <c r="C216" t="s">
        <v>21</v>
      </c>
      <c r="D216" t="s">
        <v>10</v>
      </c>
      <c r="E216" s="2">
        <v>2</v>
      </c>
      <c r="F216" s="2">
        <v>12.9</v>
      </c>
      <c r="G216" s="2">
        <v>1.1000000000000001</v>
      </c>
    </row>
    <row r="217" spans="1:7" x14ac:dyDescent="0.2">
      <c r="A217" t="s">
        <v>11</v>
      </c>
      <c r="B217" t="s">
        <v>22</v>
      </c>
      <c r="C217" t="s">
        <v>21</v>
      </c>
      <c r="D217" t="s">
        <v>10</v>
      </c>
      <c r="E217" s="2">
        <v>5</v>
      </c>
      <c r="F217" s="2">
        <v>28.15</v>
      </c>
      <c r="G217" s="2">
        <v>3</v>
      </c>
    </row>
    <row r="218" spans="1:7" x14ac:dyDescent="0.2">
      <c r="A218" t="s">
        <v>11</v>
      </c>
      <c r="B218" t="s">
        <v>22</v>
      </c>
      <c r="C218" t="s">
        <v>21</v>
      </c>
      <c r="D218" t="s">
        <v>10</v>
      </c>
      <c r="E218" s="2">
        <v>2</v>
      </c>
      <c r="F218" s="2">
        <v>11.59</v>
      </c>
      <c r="G218" s="2">
        <v>1.5</v>
      </c>
    </row>
    <row r="219" spans="1:7" x14ac:dyDescent="0.2">
      <c r="A219" t="s">
        <v>11</v>
      </c>
      <c r="B219" t="s">
        <v>22</v>
      </c>
      <c r="C219" t="s">
        <v>21</v>
      </c>
      <c r="D219" t="s">
        <v>10</v>
      </c>
      <c r="E219" s="2">
        <v>2</v>
      </c>
      <c r="F219" s="2">
        <v>7.74</v>
      </c>
      <c r="G219" s="2">
        <v>1.44</v>
      </c>
    </row>
    <row r="220" spans="1:7" x14ac:dyDescent="0.2">
      <c r="A220" t="s">
        <v>7</v>
      </c>
      <c r="B220" t="s">
        <v>22</v>
      </c>
      <c r="C220" t="s">
        <v>21</v>
      </c>
      <c r="D220" t="s">
        <v>10</v>
      </c>
      <c r="E220" s="2">
        <v>4</v>
      </c>
      <c r="F220" s="2">
        <v>30.14</v>
      </c>
      <c r="G220" s="2">
        <v>3.09</v>
      </c>
    </row>
    <row r="221" spans="1:7" x14ac:dyDescent="0.2">
      <c r="A221" t="s">
        <v>11</v>
      </c>
      <c r="B221" t="s">
        <v>22</v>
      </c>
      <c r="C221" t="s">
        <v>25</v>
      </c>
      <c r="D221" t="s">
        <v>24</v>
      </c>
      <c r="E221" s="2">
        <v>2</v>
      </c>
      <c r="F221" s="2">
        <v>12.16</v>
      </c>
      <c r="G221" s="2">
        <v>2.2000000000000002</v>
      </c>
    </row>
    <row r="222" spans="1:7" x14ac:dyDescent="0.2">
      <c r="A222" t="s">
        <v>7</v>
      </c>
      <c r="B222" t="s">
        <v>22</v>
      </c>
      <c r="C222" t="s">
        <v>25</v>
      </c>
      <c r="D222" t="s">
        <v>24</v>
      </c>
      <c r="E222" s="2">
        <v>2</v>
      </c>
      <c r="F222" s="2">
        <v>13.42</v>
      </c>
      <c r="G222" s="2">
        <v>3.48</v>
      </c>
    </row>
    <row r="223" spans="1:7" x14ac:dyDescent="0.2">
      <c r="A223" t="s">
        <v>11</v>
      </c>
      <c r="B223" t="s">
        <v>22</v>
      </c>
      <c r="C223" t="s">
        <v>25</v>
      </c>
      <c r="D223" t="s">
        <v>24</v>
      </c>
      <c r="E223" s="2">
        <v>1</v>
      </c>
      <c r="F223" s="2">
        <v>8.58</v>
      </c>
      <c r="G223" s="2">
        <v>1.92</v>
      </c>
    </row>
    <row r="224" spans="1:7" x14ac:dyDescent="0.2">
      <c r="A224" t="s">
        <v>7</v>
      </c>
      <c r="B224" t="s">
        <v>8</v>
      </c>
      <c r="C224" t="s">
        <v>25</v>
      </c>
      <c r="D224" t="s">
        <v>24</v>
      </c>
      <c r="E224" s="2">
        <v>3</v>
      </c>
      <c r="F224" s="2">
        <v>15.98</v>
      </c>
      <c r="G224" s="2">
        <v>3</v>
      </c>
    </row>
    <row r="225" spans="1:7" x14ac:dyDescent="0.2">
      <c r="A225" t="s">
        <v>11</v>
      </c>
      <c r="B225" t="s">
        <v>22</v>
      </c>
      <c r="C225" t="s">
        <v>25</v>
      </c>
      <c r="D225" t="s">
        <v>24</v>
      </c>
      <c r="E225" s="2">
        <v>2</v>
      </c>
      <c r="F225" s="2">
        <v>13.42</v>
      </c>
      <c r="G225" s="2">
        <v>1.58</v>
      </c>
    </row>
    <row r="226" spans="1:7" x14ac:dyDescent="0.2">
      <c r="A226" t="s">
        <v>7</v>
      </c>
      <c r="B226" t="s">
        <v>22</v>
      </c>
      <c r="C226" t="s">
        <v>25</v>
      </c>
      <c r="D226" t="s">
        <v>24</v>
      </c>
      <c r="E226" s="2">
        <v>2</v>
      </c>
      <c r="F226" s="2">
        <v>16.27</v>
      </c>
      <c r="G226" s="2">
        <v>2.5</v>
      </c>
    </row>
    <row r="227" spans="1:7" x14ac:dyDescent="0.2">
      <c r="A227" t="s">
        <v>7</v>
      </c>
      <c r="B227" t="s">
        <v>22</v>
      </c>
      <c r="C227" t="s">
        <v>25</v>
      </c>
      <c r="D227" t="s">
        <v>24</v>
      </c>
      <c r="E227" s="2">
        <v>2</v>
      </c>
      <c r="F227" s="2">
        <v>10.09</v>
      </c>
      <c r="G227" s="2">
        <v>2</v>
      </c>
    </row>
    <row r="228" spans="1:7" x14ac:dyDescent="0.2">
      <c r="A228" t="s">
        <v>11</v>
      </c>
      <c r="B228" t="s">
        <v>8</v>
      </c>
      <c r="C228" t="s">
        <v>21</v>
      </c>
      <c r="D228" t="s">
        <v>10</v>
      </c>
      <c r="E228" s="2">
        <v>4</v>
      </c>
      <c r="F228" s="2">
        <v>20.45</v>
      </c>
      <c r="G228" s="2">
        <v>3</v>
      </c>
    </row>
    <row r="229" spans="1:7" x14ac:dyDescent="0.2">
      <c r="A229" t="s">
        <v>11</v>
      </c>
      <c r="B229" t="s">
        <v>8</v>
      </c>
      <c r="C229" t="s">
        <v>21</v>
      </c>
      <c r="D229" t="s">
        <v>10</v>
      </c>
      <c r="E229" s="2">
        <v>2</v>
      </c>
      <c r="F229" s="2">
        <v>13.28</v>
      </c>
      <c r="G229" s="2">
        <v>2.72</v>
      </c>
    </row>
    <row r="230" spans="1:7" x14ac:dyDescent="0.2">
      <c r="A230" t="s">
        <v>7</v>
      </c>
      <c r="B230" t="s">
        <v>22</v>
      </c>
      <c r="C230" t="s">
        <v>21</v>
      </c>
      <c r="D230" t="s">
        <v>10</v>
      </c>
      <c r="E230" s="2">
        <v>2</v>
      </c>
      <c r="F230" s="2">
        <v>22.12</v>
      </c>
      <c r="G230" s="2">
        <v>2.88</v>
      </c>
    </row>
    <row r="231" spans="1:7" x14ac:dyDescent="0.2">
      <c r="A231" t="s">
        <v>11</v>
      </c>
      <c r="B231" t="s">
        <v>22</v>
      </c>
      <c r="C231" t="s">
        <v>21</v>
      </c>
      <c r="D231" t="s">
        <v>10</v>
      </c>
      <c r="E231" s="2">
        <v>4</v>
      </c>
      <c r="F231" s="2">
        <v>24.01</v>
      </c>
      <c r="G231" s="2">
        <v>2</v>
      </c>
    </row>
    <row r="232" spans="1:7" x14ac:dyDescent="0.2">
      <c r="A232" t="s">
        <v>11</v>
      </c>
      <c r="B232" t="s">
        <v>22</v>
      </c>
      <c r="C232" t="s">
        <v>21</v>
      </c>
      <c r="D232" t="s">
        <v>10</v>
      </c>
      <c r="E232" s="2">
        <v>3</v>
      </c>
      <c r="F232" s="2">
        <v>15.69</v>
      </c>
      <c r="G232" s="2">
        <v>3</v>
      </c>
    </row>
    <row r="233" spans="1:7" x14ac:dyDescent="0.2">
      <c r="A233" t="s">
        <v>11</v>
      </c>
      <c r="B233" t="s">
        <v>8</v>
      </c>
      <c r="C233" t="s">
        <v>21</v>
      </c>
      <c r="D233" t="s">
        <v>10</v>
      </c>
      <c r="E233" s="2">
        <v>2</v>
      </c>
      <c r="F233" s="2">
        <v>11.61</v>
      </c>
      <c r="G233" s="2">
        <v>3.39</v>
      </c>
    </row>
    <row r="234" spans="1:7" x14ac:dyDescent="0.2">
      <c r="A234" t="s">
        <v>11</v>
      </c>
      <c r="B234" t="s">
        <v>8</v>
      </c>
      <c r="C234" t="s">
        <v>21</v>
      </c>
      <c r="D234" t="s">
        <v>10</v>
      </c>
      <c r="E234" s="2">
        <v>2</v>
      </c>
      <c r="F234" s="2">
        <v>10.77</v>
      </c>
      <c r="G234" s="2">
        <v>1.47</v>
      </c>
    </row>
    <row r="235" spans="1:7" x14ac:dyDescent="0.2">
      <c r="A235" t="s">
        <v>11</v>
      </c>
      <c r="B235" t="s">
        <v>22</v>
      </c>
      <c r="C235" t="s">
        <v>21</v>
      </c>
      <c r="D235" t="s">
        <v>10</v>
      </c>
      <c r="E235" s="2">
        <v>2</v>
      </c>
      <c r="F235" s="2">
        <v>15.53</v>
      </c>
      <c r="G235" s="2">
        <v>3</v>
      </c>
    </row>
    <row r="236" spans="1:7" x14ac:dyDescent="0.2">
      <c r="A236" t="s">
        <v>11</v>
      </c>
      <c r="B236" t="s">
        <v>8</v>
      </c>
      <c r="C236" t="s">
        <v>21</v>
      </c>
      <c r="D236" t="s">
        <v>10</v>
      </c>
      <c r="E236" s="2">
        <v>2</v>
      </c>
      <c r="F236" s="2">
        <v>10.07</v>
      </c>
      <c r="G236" s="2">
        <v>1.25</v>
      </c>
    </row>
    <row r="237" spans="1:7" x14ac:dyDescent="0.2">
      <c r="A237" t="s">
        <v>11</v>
      </c>
      <c r="B237" t="s">
        <v>22</v>
      </c>
      <c r="C237" t="s">
        <v>21</v>
      </c>
      <c r="D237" t="s">
        <v>10</v>
      </c>
      <c r="E237" s="2">
        <v>2</v>
      </c>
      <c r="F237" s="2">
        <v>12.6</v>
      </c>
      <c r="G237" s="2">
        <v>1</v>
      </c>
    </row>
    <row r="238" spans="1:7" x14ac:dyDescent="0.2">
      <c r="A238" t="s">
        <v>11</v>
      </c>
      <c r="B238" t="s">
        <v>22</v>
      </c>
      <c r="C238" t="s">
        <v>21</v>
      </c>
      <c r="D238" t="s">
        <v>10</v>
      </c>
      <c r="E238" s="2">
        <v>2</v>
      </c>
      <c r="F238" s="2">
        <v>32.83</v>
      </c>
      <c r="G238" s="2">
        <v>1.17</v>
      </c>
    </row>
    <row r="239" spans="1:7" x14ac:dyDescent="0.2">
      <c r="A239" t="s">
        <v>7</v>
      </c>
      <c r="B239" t="s">
        <v>8</v>
      </c>
      <c r="C239" t="s">
        <v>21</v>
      </c>
      <c r="D239" t="s">
        <v>10</v>
      </c>
      <c r="E239" s="2">
        <v>3</v>
      </c>
      <c r="F239" s="2">
        <v>35.83</v>
      </c>
      <c r="G239" s="2">
        <v>4.67</v>
      </c>
    </row>
    <row r="240" spans="1:7" x14ac:dyDescent="0.2">
      <c r="A240" t="s">
        <v>11</v>
      </c>
      <c r="B240" t="s">
        <v>8</v>
      </c>
      <c r="C240" t="s">
        <v>21</v>
      </c>
      <c r="D240" t="s">
        <v>10</v>
      </c>
      <c r="E240" s="2">
        <v>3</v>
      </c>
      <c r="F240" s="2">
        <v>29.03</v>
      </c>
      <c r="G240" s="2">
        <v>5.92</v>
      </c>
    </row>
    <row r="241" spans="1:7" x14ac:dyDescent="0.2">
      <c r="A241" t="s">
        <v>7</v>
      </c>
      <c r="B241" t="s">
        <v>22</v>
      </c>
      <c r="C241" t="s">
        <v>21</v>
      </c>
      <c r="D241" t="s">
        <v>10</v>
      </c>
      <c r="E241" s="2">
        <v>2</v>
      </c>
      <c r="F241" s="2">
        <v>27.18</v>
      </c>
      <c r="G241" s="2">
        <v>2</v>
      </c>
    </row>
    <row r="242" spans="1:7" x14ac:dyDescent="0.2">
      <c r="A242" t="s">
        <v>11</v>
      </c>
      <c r="B242" t="s">
        <v>22</v>
      </c>
      <c r="C242" t="s">
        <v>21</v>
      </c>
      <c r="D242" t="s">
        <v>10</v>
      </c>
      <c r="E242" s="2">
        <v>2</v>
      </c>
      <c r="F242" s="2">
        <v>22.67</v>
      </c>
      <c r="G242" s="2">
        <v>2</v>
      </c>
    </row>
    <row r="243" spans="1:7" x14ac:dyDescent="0.2">
      <c r="A243" t="s">
        <v>11</v>
      </c>
      <c r="B243" t="s">
        <v>8</v>
      </c>
      <c r="C243" t="s">
        <v>21</v>
      </c>
      <c r="D243" t="s">
        <v>10</v>
      </c>
      <c r="E243" s="2">
        <v>2</v>
      </c>
      <c r="F243" s="2">
        <v>17.82</v>
      </c>
      <c r="G243" s="2">
        <v>1.75</v>
      </c>
    </row>
    <row r="244" spans="1:7" x14ac:dyDescent="0.2">
      <c r="A244" t="s">
        <v>7</v>
      </c>
      <c r="B244" t="s">
        <v>8</v>
      </c>
      <c r="C244" t="s">
        <v>23</v>
      </c>
      <c r="D244" t="s">
        <v>10</v>
      </c>
      <c r="E244" s="2">
        <v>2</v>
      </c>
      <c r="F244" s="2">
        <v>18.78</v>
      </c>
      <c r="G244" s="2">
        <v>3</v>
      </c>
    </row>
    <row r="245" spans="1:7" x14ac:dyDescent="0.2">
      <c r="E245"/>
      <c r="F245"/>
      <c r="G2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6B78-1BBA-B844-8DFC-D1DAFAA62007}">
  <dimension ref="A1:I23"/>
  <sheetViews>
    <sheetView workbookViewId="0">
      <selection activeCell="B17" sqref="B17:B23"/>
    </sheetView>
  </sheetViews>
  <sheetFormatPr baseColWidth="10" defaultRowHeight="15" x14ac:dyDescent="0.2"/>
  <sheetData>
    <row r="1" spans="1:9" x14ac:dyDescent="0.2">
      <c r="A1" t="s">
        <v>30</v>
      </c>
    </row>
    <row r="2" spans="1:9" ht="16" thickBot="1" x14ac:dyDescent="0.25"/>
    <row r="3" spans="1:9" x14ac:dyDescent="0.2">
      <c r="A3" s="6" t="s">
        <v>31</v>
      </c>
      <c r="B3" s="6"/>
    </row>
    <row r="4" spans="1:9" x14ac:dyDescent="0.2">
      <c r="A4" s="3" t="s">
        <v>32</v>
      </c>
      <c r="B4" s="3">
        <v>0.68474709034084957</v>
      </c>
    </row>
    <row r="5" spans="1:9" x14ac:dyDescent="0.2">
      <c r="A5" s="3" t="s">
        <v>33</v>
      </c>
      <c r="B5" s="3">
        <v>0.46887857773025954</v>
      </c>
    </row>
    <row r="6" spans="1:9" x14ac:dyDescent="0.2">
      <c r="A6" s="3" t="s">
        <v>34</v>
      </c>
      <c r="B6" s="3">
        <v>0.45537549072340172</v>
      </c>
    </row>
    <row r="7" spans="1:9" x14ac:dyDescent="0.2">
      <c r="A7" s="3" t="s">
        <v>35</v>
      </c>
      <c r="B7" s="3">
        <v>1.0221132142257578</v>
      </c>
    </row>
    <row r="8" spans="1:9" ht="16" thickBot="1" x14ac:dyDescent="0.25">
      <c r="A8" s="4" t="s">
        <v>36</v>
      </c>
      <c r="B8" s="4">
        <v>243</v>
      </c>
    </row>
    <row r="10" spans="1:9" ht="16" thickBot="1" x14ac:dyDescent="0.25">
      <c r="A10" t="s">
        <v>37</v>
      </c>
    </row>
    <row r="11" spans="1:9" x14ac:dyDescent="0.2">
      <c r="A11" s="5"/>
      <c r="B11" s="5" t="s">
        <v>42</v>
      </c>
      <c r="C11" s="5" t="s">
        <v>43</v>
      </c>
      <c r="D11" s="5" t="s">
        <v>44</v>
      </c>
      <c r="E11" s="5" t="s">
        <v>45</v>
      </c>
      <c r="F11" s="5" t="s">
        <v>46</v>
      </c>
    </row>
    <row r="12" spans="1:9" x14ac:dyDescent="0.2">
      <c r="A12" s="3" t="s">
        <v>38</v>
      </c>
      <c r="B12" s="3">
        <v>6</v>
      </c>
      <c r="C12" s="3">
        <v>217.65897588186129</v>
      </c>
      <c r="D12" s="3">
        <v>36.276495980310216</v>
      </c>
      <c r="E12" s="3">
        <v>34.723806303857067</v>
      </c>
      <c r="F12" s="3">
        <v>5.9835160601232177E-30</v>
      </c>
    </row>
    <row r="13" spans="1:9" x14ac:dyDescent="0.2">
      <c r="A13" s="3" t="s">
        <v>39</v>
      </c>
      <c r="B13" s="3">
        <v>236</v>
      </c>
      <c r="C13" s="3">
        <v>246.55283975599878</v>
      </c>
      <c r="D13" s="3">
        <v>1.04471542269491</v>
      </c>
      <c r="E13" s="3"/>
      <c r="F13" s="3"/>
    </row>
    <row r="14" spans="1:9" ht="16" thickBot="1" x14ac:dyDescent="0.25">
      <c r="A14" s="4" t="s">
        <v>40</v>
      </c>
      <c r="B14" s="4">
        <v>242</v>
      </c>
      <c r="C14" s="4">
        <v>464.21181563786007</v>
      </c>
      <c r="D14" s="4"/>
      <c r="E14" s="4"/>
      <c r="F14" s="4"/>
    </row>
    <row r="15" spans="1:9" ht="16" thickBot="1" x14ac:dyDescent="0.25"/>
    <row r="16" spans="1:9" x14ac:dyDescent="0.2">
      <c r="A16" s="5"/>
      <c r="B16" s="5" t="s">
        <v>47</v>
      </c>
      <c r="C16" s="5" t="s">
        <v>35</v>
      </c>
      <c r="D16" s="5" t="s">
        <v>48</v>
      </c>
      <c r="E16" s="5" t="s">
        <v>49</v>
      </c>
      <c r="F16" s="5" t="s">
        <v>50</v>
      </c>
      <c r="G16" s="5" t="s">
        <v>51</v>
      </c>
      <c r="H16" s="5" t="s">
        <v>52</v>
      </c>
      <c r="I16" s="5" t="s">
        <v>53</v>
      </c>
    </row>
    <row r="17" spans="1:9" x14ac:dyDescent="0.2">
      <c r="A17" s="3" t="s">
        <v>41</v>
      </c>
      <c r="B17" s="3">
        <v>0.75944339705833919</v>
      </c>
      <c r="C17" s="3">
        <v>0.4008404718177967</v>
      </c>
      <c r="D17" s="3">
        <v>1.8946275400143391</v>
      </c>
      <c r="E17" s="3">
        <v>5.936425306531995E-2</v>
      </c>
      <c r="F17" s="3">
        <v>-3.0239129851718054E-2</v>
      </c>
      <c r="G17" s="3">
        <v>1.5491259239683963</v>
      </c>
      <c r="H17" s="3">
        <v>-3.0239129851718054E-2</v>
      </c>
      <c r="I17" s="3">
        <v>1.5491259239683963</v>
      </c>
    </row>
    <row r="18" spans="1:9" x14ac:dyDescent="0.2">
      <c r="A18" s="3" t="s">
        <v>54</v>
      </c>
      <c r="B18" s="3">
        <v>3.7183538040686311E-2</v>
      </c>
      <c r="C18" s="3">
        <v>0.14111058831994691</v>
      </c>
      <c r="D18" s="3">
        <v>0.26350636393335886</v>
      </c>
      <c r="E18" s="3">
        <v>0.79239024746617592</v>
      </c>
      <c r="F18" s="3">
        <v>-0.24081375463018079</v>
      </c>
      <c r="G18" s="3">
        <v>0.31518083071155339</v>
      </c>
      <c r="H18" s="3">
        <v>-0.24081375463018079</v>
      </c>
      <c r="I18" s="3">
        <v>0.31518083071155339</v>
      </c>
    </row>
    <row r="19" spans="1:9" x14ac:dyDescent="0.2">
      <c r="A19" s="3" t="s">
        <v>55</v>
      </c>
      <c r="B19" s="3">
        <v>-7.3687758526173666E-2</v>
      </c>
      <c r="C19" s="3">
        <v>0.14007061302271392</v>
      </c>
      <c r="D19" s="3">
        <v>-0.52607579088858858</v>
      </c>
      <c r="E19" s="3">
        <v>0.599329557284485</v>
      </c>
      <c r="F19" s="3">
        <v>-0.34963623033591701</v>
      </c>
      <c r="G19" s="3">
        <v>0.2022607132835697</v>
      </c>
      <c r="H19" s="3">
        <v>-0.34963623033591701</v>
      </c>
      <c r="I19" s="3">
        <v>0.2022607132835697</v>
      </c>
    </row>
    <row r="20" spans="1:9" x14ac:dyDescent="0.2">
      <c r="A20" s="3" t="s">
        <v>56</v>
      </c>
      <c r="B20" s="3">
        <v>8.8727762736486165E-2</v>
      </c>
      <c r="C20" s="3">
        <v>0.1979455957295716</v>
      </c>
      <c r="D20" s="3">
        <v>0.44824317716926548</v>
      </c>
      <c r="E20" s="3">
        <v>0.65438894312712859</v>
      </c>
      <c r="F20" s="3">
        <v>-0.30123829412789616</v>
      </c>
      <c r="G20" s="3">
        <v>0.47869381960086849</v>
      </c>
      <c r="H20" s="3">
        <v>-0.30123829412789616</v>
      </c>
      <c r="I20" s="3">
        <v>0.47869381960086849</v>
      </c>
    </row>
    <row r="21" spans="1:9" x14ac:dyDescent="0.2">
      <c r="A21" s="3" t="s">
        <v>57</v>
      </c>
      <c r="B21" s="3">
        <v>-5.3498842810068024E-2</v>
      </c>
      <c r="C21" s="3">
        <v>7.4899967748823681E-2</v>
      </c>
      <c r="D21" s="3">
        <v>-0.71427057204451516</v>
      </c>
      <c r="E21" s="3">
        <v>0.47576574868416877</v>
      </c>
      <c r="F21" s="3">
        <v>-0.20105678657044365</v>
      </c>
      <c r="G21" s="3">
        <v>9.4059100950307603E-2</v>
      </c>
      <c r="H21" s="3">
        <v>-0.20105678657044365</v>
      </c>
      <c r="I21" s="3">
        <v>9.4059100950307603E-2</v>
      </c>
    </row>
    <row r="22" spans="1:9" x14ac:dyDescent="0.2">
      <c r="A22" s="3" t="s">
        <v>58</v>
      </c>
      <c r="B22" s="3">
        <v>0.17393311607359682</v>
      </c>
      <c r="C22" s="3">
        <v>8.8904699901314221E-2</v>
      </c>
      <c r="D22" s="3">
        <v>1.9563995634276437</v>
      </c>
      <c r="E22" s="3">
        <v>5.1597598924417953E-2</v>
      </c>
      <c r="F22" s="3">
        <v>-1.2150862869739743E-3</v>
      </c>
      <c r="G22" s="3">
        <v>0.34908131843416762</v>
      </c>
      <c r="H22" s="3">
        <v>-1.2150862869739743E-3</v>
      </c>
      <c r="I22" s="3">
        <v>0.34908131843416762</v>
      </c>
    </row>
    <row r="23" spans="1:9" ht="16" thickBot="1" x14ac:dyDescent="0.25">
      <c r="A23" s="4" t="s">
        <v>59</v>
      </c>
      <c r="B23" s="4">
        <v>9.4374030184376248E-2</v>
      </c>
      <c r="C23" s="4">
        <v>9.5509493783320631E-3</v>
      </c>
      <c r="D23" s="4">
        <v>9.8811151065756491</v>
      </c>
      <c r="E23" s="4">
        <v>1.7174986010942598E-19</v>
      </c>
      <c r="F23" s="4">
        <v>7.5558021398467914E-2</v>
      </c>
      <c r="G23" s="4">
        <v>0.11319003897028458</v>
      </c>
      <c r="H23" s="4">
        <v>7.5558021398467914E-2</v>
      </c>
      <c r="I23" s="4">
        <v>0.11319003897028458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B3C8-A7A7-A941-BAC2-E6FB051AF5E6}">
  <dimension ref="A1:U245"/>
  <sheetViews>
    <sheetView tabSelected="1" zoomScaleNormal="175" workbookViewId="0">
      <selection activeCell="G1" sqref="G1:G244"/>
    </sheetView>
  </sheetViews>
  <sheetFormatPr baseColWidth="10" defaultRowHeight="15" x14ac:dyDescent="0.2"/>
  <cols>
    <col min="1" max="1" width="13.6640625" customWidth="1"/>
    <col min="2" max="2" width="21.6640625" customWidth="1"/>
    <col min="3" max="3" width="23" customWidth="1"/>
    <col min="4" max="4" width="15.83203125" customWidth="1"/>
    <col min="5" max="5" width="24.6640625" customWidth="1"/>
    <col min="6" max="8" width="16.6640625" customWidth="1"/>
    <col min="16" max="16" width="10.83203125" style="9"/>
    <col min="20" max="20" width="17" customWidth="1"/>
  </cols>
  <sheetData>
    <row r="1" spans="1:21" ht="16" thickBot="1" x14ac:dyDescent="0.25">
      <c r="A1" t="s">
        <v>26</v>
      </c>
      <c r="B1" t="s">
        <v>27</v>
      </c>
      <c r="C1" t="s">
        <v>28</v>
      </c>
      <c r="D1" t="s">
        <v>29</v>
      </c>
      <c r="E1" s="2" t="s">
        <v>4</v>
      </c>
      <c r="F1" s="2" t="s">
        <v>5</v>
      </c>
      <c r="G1" s="8" t="s">
        <v>6</v>
      </c>
      <c r="H1" s="2"/>
      <c r="I1" s="3">
        <v>0.75944339705833919</v>
      </c>
      <c r="J1" s="3">
        <v>3.7183538040686311E-2</v>
      </c>
      <c r="K1" s="3">
        <v>-7.3687758526173666E-2</v>
      </c>
      <c r="L1" s="3">
        <v>8.8727762736486165E-2</v>
      </c>
      <c r="M1" s="3">
        <v>-5.3498842810068024E-2</v>
      </c>
      <c r="N1" s="3">
        <v>0.17393311607359682</v>
      </c>
      <c r="O1" s="4">
        <v>9.4374030184376248E-2</v>
      </c>
      <c r="P1" s="7" t="s">
        <v>60</v>
      </c>
      <c r="Q1" t="s">
        <v>61</v>
      </c>
      <c r="R1" t="s">
        <v>62</v>
      </c>
    </row>
    <row r="2" spans="1:21" x14ac:dyDescent="0.2">
      <c r="A2">
        <f>IF(tips!A2="Male",1,2)</f>
        <v>2</v>
      </c>
      <c r="B2">
        <f>IF(tips!B2="No",1,2)</f>
        <v>1</v>
      </c>
      <c r="C2">
        <f>IF(tips!D2="Dinner",1,2)</f>
        <v>1</v>
      </c>
      <c r="D2">
        <f>IF(tips!C2="Sun",1,IF(tips!C2="Fri",2,IF(tips!C2="Sat",3,IF(tips!C2="Thur",4))))</f>
        <v>1</v>
      </c>
      <c r="E2" s="2">
        <v>2</v>
      </c>
      <c r="F2" s="2">
        <v>16.989999999999998</v>
      </c>
      <c r="G2" s="8">
        <v>1.01</v>
      </c>
      <c r="H2" s="2"/>
      <c r="I2" s="3">
        <v>0.75944339705833919</v>
      </c>
      <c r="J2" s="3">
        <f>$J$1*A2</f>
        <v>7.4367076081372621E-2</v>
      </c>
      <c r="K2" s="3">
        <f>$K$1*B2</f>
        <v>-7.3687758526173666E-2</v>
      </c>
      <c r="L2" s="3">
        <f>$L$1*C2</f>
        <v>8.8727762736486165E-2</v>
      </c>
      <c r="M2" s="3">
        <f>$M$1*D2</f>
        <v>-5.3498842810068024E-2</v>
      </c>
      <c r="N2" s="3">
        <f>$N$1*E2</f>
        <v>0.34786623214719364</v>
      </c>
      <c r="O2" s="3">
        <f>$O$1*F2</f>
        <v>1.6034147728325523</v>
      </c>
      <c r="P2" s="8">
        <f>SUM(I2:O2)</f>
        <v>2.746632639519702</v>
      </c>
      <c r="Q2" s="2">
        <f>G2-P2</f>
        <v>-1.736632639519702</v>
      </c>
      <c r="R2">
        <f>Q2*Q2</f>
        <v>3.0158929246451676</v>
      </c>
    </row>
    <row r="3" spans="1:21" x14ac:dyDescent="0.2">
      <c r="A3">
        <f>IF(tips!A3="Male",1,2)</f>
        <v>1</v>
      </c>
      <c r="B3">
        <f>IF(tips!B3="No",1,2)</f>
        <v>1</v>
      </c>
      <c r="C3">
        <f>IF(tips!D3="Dinner",1,2)</f>
        <v>1</v>
      </c>
      <c r="D3">
        <f>IF(tips!C3="Sun",1,IF(tips!C3="Fri",2,IF(tips!C3="Sat",3,IF(tips!C3="Thur",4))))</f>
        <v>1</v>
      </c>
      <c r="E3" s="2">
        <v>3</v>
      </c>
      <c r="F3" s="2">
        <v>10.34</v>
      </c>
      <c r="G3" s="8">
        <v>1.66</v>
      </c>
      <c r="H3" s="2"/>
      <c r="I3" s="3">
        <v>0.75944339705833919</v>
      </c>
      <c r="J3" s="3">
        <f t="shared" ref="J3:J66" si="0">$J$1*A3</f>
        <v>3.7183538040686311E-2</v>
      </c>
      <c r="K3" s="3">
        <f t="shared" ref="K3:K66" si="1">$K$1*B3</f>
        <v>-7.3687758526173666E-2</v>
      </c>
      <c r="L3" s="3">
        <f t="shared" ref="L3:L66" si="2">$L$1*C3</f>
        <v>8.8727762736486165E-2</v>
      </c>
      <c r="M3" s="3">
        <f t="shared" ref="M3:M66" si="3">$M$1*D3</f>
        <v>-5.3498842810068024E-2</v>
      </c>
      <c r="N3" s="3">
        <f t="shared" ref="N3:N66" si="4">$N$1*E3</f>
        <v>0.52179934822079044</v>
      </c>
      <c r="O3" s="3">
        <f t="shared" ref="O3:O66" si="5">$O$1*F3</f>
        <v>0.97582747210645038</v>
      </c>
      <c r="P3" s="8">
        <f t="shared" ref="P3:P66" si="6">SUM(I3:O3)</f>
        <v>2.2557949168265106</v>
      </c>
      <c r="Q3" s="2">
        <f t="shared" ref="Q3:Q66" si="7">G3-P3</f>
        <v>-0.59579491682651065</v>
      </c>
      <c r="R3">
        <f t="shared" ref="R3:R66" si="8">Q3*Q3</f>
        <v>0.35497158291630876</v>
      </c>
    </row>
    <row r="4" spans="1:21" x14ac:dyDescent="0.2">
      <c r="A4">
        <f>IF(tips!A4="Male",1,2)</f>
        <v>1</v>
      </c>
      <c r="B4">
        <f>IF(tips!B4="No",1,2)</f>
        <v>1</v>
      </c>
      <c r="C4">
        <f>IF(tips!D4="Dinner",1,2)</f>
        <v>1</v>
      </c>
      <c r="D4">
        <f>IF(tips!C4="Sun",1,IF(tips!C4="Fri",2,IF(tips!C4="Sat",3,IF(tips!C4="Thur",4))))</f>
        <v>1</v>
      </c>
      <c r="E4" s="2">
        <v>3</v>
      </c>
      <c r="F4" s="2">
        <v>21.01</v>
      </c>
      <c r="G4" s="8">
        <v>3.5</v>
      </c>
      <c r="H4" s="2"/>
      <c r="I4" s="3">
        <v>0.75944339705833919</v>
      </c>
      <c r="J4" s="3">
        <f t="shared" si="0"/>
        <v>3.7183538040686311E-2</v>
      </c>
      <c r="K4" s="3">
        <f t="shared" si="1"/>
        <v>-7.3687758526173666E-2</v>
      </c>
      <c r="L4" s="3">
        <f t="shared" si="2"/>
        <v>8.8727762736486165E-2</v>
      </c>
      <c r="M4" s="3">
        <f t="shared" si="3"/>
        <v>-5.3498842810068024E-2</v>
      </c>
      <c r="N4" s="3">
        <f t="shared" si="4"/>
        <v>0.52179934822079044</v>
      </c>
      <c r="O4" s="3">
        <f t="shared" si="5"/>
        <v>1.9827983741737452</v>
      </c>
      <c r="P4" s="8">
        <f t="shared" si="6"/>
        <v>3.2627658188938056</v>
      </c>
      <c r="Q4" s="2">
        <f t="shared" si="7"/>
        <v>0.23723418110619443</v>
      </c>
      <c r="R4">
        <f t="shared" si="8"/>
        <v>5.6280056685126659E-2</v>
      </c>
    </row>
    <row r="5" spans="1:21" x14ac:dyDescent="0.2">
      <c r="A5">
        <f>IF(tips!A5="Male",1,2)</f>
        <v>1</v>
      </c>
      <c r="B5">
        <f>IF(tips!B5="No",1,2)</f>
        <v>1</v>
      </c>
      <c r="C5">
        <f>IF(tips!D5="Dinner",1,2)</f>
        <v>1</v>
      </c>
      <c r="D5">
        <f>IF(tips!C5="Sun",1,IF(tips!C5="Fri",2,IF(tips!C5="Sat",3,IF(tips!C5="Thur",4))))</f>
        <v>1</v>
      </c>
      <c r="E5" s="2">
        <v>2</v>
      </c>
      <c r="F5" s="2">
        <v>23.68</v>
      </c>
      <c r="G5" s="8">
        <v>3.31</v>
      </c>
      <c r="H5" s="2"/>
      <c r="I5" s="3">
        <v>0.75944339705833919</v>
      </c>
      <c r="J5" s="3">
        <f t="shared" si="0"/>
        <v>3.7183538040686311E-2</v>
      </c>
      <c r="K5" s="3">
        <f t="shared" si="1"/>
        <v>-7.3687758526173666E-2</v>
      </c>
      <c r="L5" s="3">
        <f t="shared" si="2"/>
        <v>8.8727762736486165E-2</v>
      </c>
      <c r="M5" s="3">
        <f t="shared" si="3"/>
        <v>-5.3498842810068024E-2</v>
      </c>
      <c r="N5" s="3">
        <f t="shared" si="4"/>
        <v>0.34786623214719364</v>
      </c>
      <c r="O5" s="3">
        <f t="shared" si="5"/>
        <v>2.2347770347660294</v>
      </c>
      <c r="P5" s="8">
        <f t="shared" si="6"/>
        <v>3.340811363412493</v>
      </c>
      <c r="Q5" s="2">
        <f t="shared" si="7"/>
        <v>-3.0811363412492909E-2</v>
      </c>
      <c r="R5">
        <f t="shared" si="8"/>
        <v>9.4934011533670667E-4</v>
      </c>
      <c r="T5" t="s">
        <v>63</v>
      </c>
      <c r="U5">
        <f>AVERAGE(R2:R244)</f>
        <v>1.0146207397366196</v>
      </c>
    </row>
    <row r="6" spans="1:21" x14ac:dyDescent="0.2">
      <c r="A6">
        <f>IF(tips!A6="Male",1,2)</f>
        <v>2</v>
      </c>
      <c r="B6">
        <f>IF(tips!B6="No",1,2)</f>
        <v>1</v>
      </c>
      <c r="C6">
        <f>IF(tips!D6="Dinner",1,2)</f>
        <v>1</v>
      </c>
      <c r="D6">
        <f>IF(tips!C6="Sun",1,IF(tips!C6="Fri",2,IF(tips!C6="Sat",3,IF(tips!C6="Thur",4))))</f>
        <v>1</v>
      </c>
      <c r="E6" s="2">
        <v>4</v>
      </c>
      <c r="F6" s="2">
        <v>24.59</v>
      </c>
      <c r="G6" s="8">
        <v>3.61</v>
      </c>
      <c r="H6" s="2"/>
      <c r="I6" s="3">
        <v>0.75944339705833919</v>
      </c>
      <c r="J6" s="3">
        <f t="shared" si="0"/>
        <v>7.4367076081372621E-2</v>
      </c>
      <c r="K6" s="3">
        <f t="shared" si="1"/>
        <v>-7.3687758526173666E-2</v>
      </c>
      <c r="L6" s="3">
        <f t="shared" si="2"/>
        <v>8.8727762736486165E-2</v>
      </c>
      <c r="M6" s="3">
        <f t="shared" si="3"/>
        <v>-5.3498842810068024E-2</v>
      </c>
      <c r="N6" s="3">
        <f t="shared" si="4"/>
        <v>0.69573246429438729</v>
      </c>
      <c r="O6" s="3">
        <f t="shared" si="5"/>
        <v>2.3206574022338118</v>
      </c>
      <c r="P6" s="8">
        <f t="shared" si="6"/>
        <v>3.8117415010681555</v>
      </c>
      <c r="Q6" s="2">
        <f t="shared" si="7"/>
        <v>-0.20174150106815558</v>
      </c>
      <c r="R6">
        <f t="shared" si="8"/>
        <v>4.0699633253232621E-2</v>
      </c>
      <c r="T6" t="s">
        <v>64</v>
      </c>
      <c r="U6">
        <f>SQRT(U5)</f>
        <v>1.0072838426861714</v>
      </c>
    </row>
    <row r="7" spans="1:21" x14ac:dyDescent="0.2">
      <c r="A7">
        <f>IF(tips!A7="Male",1,2)</f>
        <v>1</v>
      </c>
      <c r="B7">
        <f>IF(tips!B7="No",1,2)</f>
        <v>1</v>
      </c>
      <c r="C7">
        <f>IF(tips!D7="Dinner",1,2)</f>
        <v>1</v>
      </c>
      <c r="D7">
        <f>IF(tips!C7="Sun",1,IF(tips!C7="Fri",2,IF(tips!C7="Sat",3,IF(tips!C7="Thur",4))))</f>
        <v>1</v>
      </c>
      <c r="E7" s="2">
        <v>4</v>
      </c>
      <c r="F7" s="2">
        <v>25.29</v>
      </c>
      <c r="G7" s="8">
        <v>4.71</v>
      </c>
      <c r="H7" s="2"/>
      <c r="I7" s="3">
        <v>0.75944339705833919</v>
      </c>
      <c r="J7" s="3">
        <f t="shared" si="0"/>
        <v>3.7183538040686311E-2</v>
      </c>
      <c r="K7" s="3">
        <f t="shared" si="1"/>
        <v>-7.3687758526173666E-2</v>
      </c>
      <c r="L7" s="3">
        <f t="shared" si="2"/>
        <v>8.8727762736486165E-2</v>
      </c>
      <c r="M7" s="3">
        <f t="shared" si="3"/>
        <v>-5.3498842810068024E-2</v>
      </c>
      <c r="N7" s="3">
        <f t="shared" si="4"/>
        <v>0.69573246429438729</v>
      </c>
      <c r="O7" s="3">
        <f t="shared" si="5"/>
        <v>2.3867192233628751</v>
      </c>
      <c r="P7" s="8">
        <f t="shared" si="6"/>
        <v>3.8406197841565324</v>
      </c>
      <c r="Q7" s="2">
        <f t="shared" si="7"/>
        <v>0.86938021584346759</v>
      </c>
      <c r="R7">
        <f t="shared" si="8"/>
        <v>0.7558219597000343</v>
      </c>
      <c r="U7" s="2">
        <f xml:space="preserve"> 0.7594+0.0372*A2-0.0737*B2+0.0887*C2-0.0535*D2+0.1739*E2+0.0944*F2</f>
        <v>2.746956</v>
      </c>
    </row>
    <row r="8" spans="1:21" x14ac:dyDescent="0.2">
      <c r="A8">
        <f>IF(tips!A8="Male",1,2)</f>
        <v>1</v>
      </c>
      <c r="B8">
        <f>IF(tips!B8="No",1,2)</f>
        <v>1</v>
      </c>
      <c r="C8">
        <f>IF(tips!D8="Dinner",1,2)</f>
        <v>1</v>
      </c>
      <c r="D8">
        <f>IF(tips!C8="Sun",1,IF(tips!C8="Fri",2,IF(tips!C8="Sat",3,IF(tips!C8="Thur",4))))</f>
        <v>1</v>
      </c>
      <c r="E8" s="2">
        <v>2</v>
      </c>
      <c r="F8" s="2">
        <v>8.77</v>
      </c>
      <c r="G8" s="8">
        <v>2</v>
      </c>
      <c r="H8" s="2"/>
      <c r="I8" s="3">
        <v>0.75944339705833919</v>
      </c>
      <c r="J8" s="3">
        <f t="shared" si="0"/>
        <v>3.7183538040686311E-2</v>
      </c>
      <c r="K8" s="3">
        <f t="shared" si="1"/>
        <v>-7.3687758526173666E-2</v>
      </c>
      <c r="L8" s="3">
        <f t="shared" si="2"/>
        <v>8.8727762736486165E-2</v>
      </c>
      <c r="M8" s="3">
        <f t="shared" si="3"/>
        <v>-5.3498842810068024E-2</v>
      </c>
      <c r="N8" s="3">
        <f t="shared" si="4"/>
        <v>0.34786623214719364</v>
      </c>
      <c r="O8" s="3">
        <f t="shared" si="5"/>
        <v>0.82766024471697963</v>
      </c>
      <c r="P8" s="8">
        <f t="shared" si="6"/>
        <v>1.9336945733634432</v>
      </c>
      <c r="Q8" s="2">
        <f t="shared" si="7"/>
        <v>6.6305426636556808E-2</v>
      </c>
      <c r="R8">
        <f t="shared" si="8"/>
        <v>4.396409601455817E-3</v>
      </c>
    </row>
    <row r="9" spans="1:21" x14ac:dyDescent="0.2">
      <c r="A9">
        <f>IF(tips!A9="Male",1,2)</f>
        <v>1</v>
      </c>
      <c r="B9">
        <f>IF(tips!B9="No",1,2)</f>
        <v>1</v>
      </c>
      <c r="C9">
        <f>IF(tips!D9="Dinner",1,2)</f>
        <v>1</v>
      </c>
      <c r="D9">
        <f>IF(tips!C9="Sun",1,IF(tips!C9="Fri",2,IF(tips!C9="Sat",3,IF(tips!C9="Thur",4))))</f>
        <v>1</v>
      </c>
      <c r="E9" s="2">
        <v>4</v>
      </c>
      <c r="F9" s="2">
        <v>26.88</v>
      </c>
      <c r="G9" s="8">
        <v>3.12</v>
      </c>
      <c r="H9" s="2"/>
      <c r="I9" s="3">
        <v>0.75944339705833919</v>
      </c>
      <c r="J9" s="3">
        <f t="shared" si="0"/>
        <v>3.7183538040686311E-2</v>
      </c>
      <c r="K9" s="3">
        <f t="shared" si="1"/>
        <v>-7.3687758526173666E-2</v>
      </c>
      <c r="L9" s="3">
        <f t="shared" si="2"/>
        <v>8.8727762736486165E-2</v>
      </c>
      <c r="M9" s="3">
        <f t="shared" si="3"/>
        <v>-5.3498842810068024E-2</v>
      </c>
      <c r="N9" s="3">
        <f t="shared" si="4"/>
        <v>0.69573246429438729</v>
      </c>
      <c r="O9" s="3">
        <f t="shared" si="5"/>
        <v>2.5367739313560334</v>
      </c>
      <c r="P9" s="8">
        <f t="shared" si="6"/>
        <v>3.9906744921496906</v>
      </c>
      <c r="Q9" s="2">
        <f t="shared" si="7"/>
        <v>-0.8706744921496905</v>
      </c>
      <c r="R9">
        <f t="shared" si="8"/>
        <v>0.7580740712801215</v>
      </c>
    </row>
    <row r="10" spans="1:21" x14ac:dyDescent="0.2">
      <c r="A10">
        <f>IF(tips!A10="Male",1,2)</f>
        <v>1</v>
      </c>
      <c r="B10">
        <f>IF(tips!B10="No",1,2)</f>
        <v>1</v>
      </c>
      <c r="C10">
        <f>IF(tips!D10="Dinner",1,2)</f>
        <v>1</v>
      </c>
      <c r="D10">
        <f>IF(tips!C10="Sun",1,IF(tips!C10="Fri",2,IF(tips!C10="Sat",3,IF(tips!C10="Thur",4))))</f>
        <v>1</v>
      </c>
      <c r="E10" s="2">
        <v>2</v>
      </c>
      <c r="F10" s="2">
        <v>15.04</v>
      </c>
      <c r="G10" s="8">
        <v>1.96</v>
      </c>
      <c r="H10" s="2"/>
      <c r="I10" s="3">
        <v>0.75944339705833919</v>
      </c>
      <c r="J10" s="3">
        <f t="shared" si="0"/>
        <v>3.7183538040686311E-2</v>
      </c>
      <c r="K10" s="3">
        <f t="shared" si="1"/>
        <v>-7.3687758526173666E-2</v>
      </c>
      <c r="L10" s="3">
        <f t="shared" si="2"/>
        <v>8.8727762736486165E-2</v>
      </c>
      <c r="M10" s="3">
        <f t="shared" si="3"/>
        <v>-5.3498842810068024E-2</v>
      </c>
      <c r="N10" s="3">
        <f t="shared" si="4"/>
        <v>0.34786623214719364</v>
      </c>
      <c r="O10" s="3">
        <f t="shared" si="5"/>
        <v>1.4193854139730187</v>
      </c>
      <c r="P10" s="8">
        <f t="shared" si="6"/>
        <v>2.5254197426194822</v>
      </c>
      <c r="Q10" s="2">
        <f t="shared" si="7"/>
        <v>-0.56541974261948225</v>
      </c>
      <c r="R10">
        <f t="shared" si="8"/>
        <v>0.31969948534388154</v>
      </c>
    </row>
    <row r="11" spans="1:21" x14ac:dyDescent="0.2">
      <c r="A11">
        <f>IF(tips!A11="Male",1,2)</f>
        <v>1</v>
      </c>
      <c r="B11">
        <f>IF(tips!B11="No",1,2)</f>
        <v>1</v>
      </c>
      <c r="C11">
        <f>IF(tips!D11="Dinner",1,2)</f>
        <v>1</v>
      </c>
      <c r="D11">
        <f>IF(tips!C11="Sun",1,IF(tips!C11="Fri",2,IF(tips!C11="Sat",3,IF(tips!C11="Thur",4))))</f>
        <v>1</v>
      </c>
      <c r="E11" s="2">
        <v>2</v>
      </c>
      <c r="F11" s="2">
        <v>14.78</v>
      </c>
      <c r="G11" s="8">
        <v>3.23</v>
      </c>
      <c r="H11" s="2"/>
      <c r="I11" s="3">
        <v>0.75944339705833919</v>
      </c>
      <c r="J11" s="3">
        <f t="shared" si="0"/>
        <v>3.7183538040686311E-2</v>
      </c>
      <c r="K11" s="3">
        <f t="shared" si="1"/>
        <v>-7.3687758526173666E-2</v>
      </c>
      <c r="L11" s="3">
        <f t="shared" si="2"/>
        <v>8.8727762736486165E-2</v>
      </c>
      <c r="M11" s="3">
        <f t="shared" si="3"/>
        <v>-5.3498842810068024E-2</v>
      </c>
      <c r="N11" s="3">
        <f t="shared" si="4"/>
        <v>0.34786623214719364</v>
      </c>
      <c r="O11" s="3">
        <f t="shared" si="5"/>
        <v>1.3948481661250809</v>
      </c>
      <c r="P11" s="8">
        <f t="shared" si="6"/>
        <v>2.5008824947715445</v>
      </c>
      <c r="Q11" s="2">
        <f t="shared" si="7"/>
        <v>0.72911750522845553</v>
      </c>
      <c r="R11">
        <f t="shared" si="8"/>
        <v>0.53161233643056693</v>
      </c>
    </row>
    <row r="12" spans="1:21" x14ac:dyDescent="0.2">
      <c r="A12">
        <f>IF(tips!A12="Male",1,2)</f>
        <v>1</v>
      </c>
      <c r="B12">
        <f>IF(tips!B12="No",1,2)</f>
        <v>1</v>
      </c>
      <c r="C12">
        <f>IF(tips!D12="Dinner",1,2)</f>
        <v>1</v>
      </c>
      <c r="D12">
        <f>IF(tips!C12="Sun",1,IF(tips!C12="Fri",2,IF(tips!C12="Sat",3,IF(tips!C12="Thur",4))))</f>
        <v>1</v>
      </c>
      <c r="E12" s="2">
        <v>2</v>
      </c>
      <c r="F12" s="2">
        <v>10.27</v>
      </c>
      <c r="G12" s="8">
        <v>1.71</v>
      </c>
      <c r="H12" s="2"/>
      <c r="I12" s="3">
        <v>0.75944339705833919</v>
      </c>
      <c r="J12" s="3">
        <f t="shared" si="0"/>
        <v>3.7183538040686311E-2</v>
      </c>
      <c r="K12" s="3">
        <f t="shared" si="1"/>
        <v>-7.3687758526173666E-2</v>
      </c>
      <c r="L12" s="3">
        <f t="shared" si="2"/>
        <v>8.8727762736486165E-2</v>
      </c>
      <c r="M12" s="3">
        <f t="shared" si="3"/>
        <v>-5.3498842810068024E-2</v>
      </c>
      <c r="N12" s="3">
        <f t="shared" si="4"/>
        <v>0.34786623214719364</v>
      </c>
      <c r="O12" s="3">
        <f t="shared" si="5"/>
        <v>0.96922128999354407</v>
      </c>
      <c r="P12" s="8">
        <f t="shared" si="6"/>
        <v>2.0752556186400075</v>
      </c>
      <c r="Q12" s="2">
        <f t="shared" si="7"/>
        <v>-0.36525561864000755</v>
      </c>
      <c r="R12">
        <f t="shared" si="8"/>
        <v>0.13341166694809464</v>
      </c>
    </row>
    <row r="13" spans="1:21" x14ac:dyDescent="0.2">
      <c r="A13">
        <f>IF(tips!A13="Male",1,2)</f>
        <v>2</v>
      </c>
      <c r="B13">
        <f>IF(tips!B13="No",1,2)</f>
        <v>1</v>
      </c>
      <c r="C13">
        <f>IF(tips!D13="Dinner",1,2)</f>
        <v>1</v>
      </c>
      <c r="D13">
        <f>IF(tips!C13="Sun",1,IF(tips!C13="Fri",2,IF(tips!C13="Sat",3,IF(tips!C13="Thur",4))))</f>
        <v>1</v>
      </c>
      <c r="E13" s="2">
        <v>4</v>
      </c>
      <c r="F13" s="2">
        <v>35.26</v>
      </c>
      <c r="G13" s="8">
        <v>5</v>
      </c>
      <c r="H13" s="2"/>
      <c r="I13" s="3">
        <v>0.75944339705833919</v>
      </c>
      <c r="J13" s="3">
        <f t="shared" si="0"/>
        <v>7.4367076081372621E-2</v>
      </c>
      <c r="K13" s="3">
        <f t="shared" si="1"/>
        <v>-7.3687758526173666E-2</v>
      </c>
      <c r="L13" s="3">
        <f t="shared" si="2"/>
        <v>8.8727762736486165E-2</v>
      </c>
      <c r="M13" s="3">
        <f t="shared" si="3"/>
        <v>-5.3498842810068024E-2</v>
      </c>
      <c r="N13" s="3">
        <f t="shared" si="4"/>
        <v>0.69573246429438729</v>
      </c>
      <c r="O13" s="3">
        <f t="shared" si="5"/>
        <v>3.3276283043011063</v>
      </c>
      <c r="P13" s="8">
        <f t="shared" si="6"/>
        <v>4.81871240313545</v>
      </c>
      <c r="Q13" s="2">
        <f t="shared" si="7"/>
        <v>0.18128759686454998</v>
      </c>
      <c r="R13">
        <f t="shared" si="8"/>
        <v>3.2865192776923589E-2</v>
      </c>
    </row>
    <row r="14" spans="1:21" x14ac:dyDescent="0.2">
      <c r="A14">
        <f>IF(tips!A14="Male",1,2)</f>
        <v>1</v>
      </c>
      <c r="B14">
        <f>IF(tips!B14="No",1,2)</f>
        <v>1</v>
      </c>
      <c r="C14">
        <f>IF(tips!D14="Dinner",1,2)</f>
        <v>1</v>
      </c>
      <c r="D14">
        <f>IF(tips!C14="Sun",1,IF(tips!C14="Fri",2,IF(tips!C14="Sat",3,IF(tips!C14="Thur",4))))</f>
        <v>1</v>
      </c>
      <c r="E14" s="2">
        <v>2</v>
      </c>
      <c r="F14" s="2">
        <v>15.42</v>
      </c>
      <c r="G14" s="8">
        <v>1.57</v>
      </c>
      <c r="H14" s="2"/>
      <c r="I14" s="3">
        <v>0.75944339705833919</v>
      </c>
      <c r="J14" s="3">
        <f t="shared" si="0"/>
        <v>3.7183538040686311E-2</v>
      </c>
      <c r="K14" s="3">
        <f t="shared" si="1"/>
        <v>-7.3687758526173666E-2</v>
      </c>
      <c r="L14" s="3">
        <f t="shared" si="2"/>
        <v>8.8727762736486165E-2</v>
      </c>
      <c r="M14" s="3">
        <f t="shared" si="3"/>
        <v>-5.3498842810068024E-2</v>
      </c>
      <c r="N14" s="3">
        <f t="shared" si="4"/>
        <v>0.34786623214719364</v>
      </c>
      <c r="O14" s="3">
        <f t="shared" si="5"/>
        <v>1.4552475454430818</v>
      </c>
      <c r="P14" s="8">
        <f t="shared" si="6"/>
        <v>2.5612818740895453</v>
      </c>
      <c r="Q14" s="2">
        <f t="shared" si="7"/>
        <v>-0.99128187408954527</v>
      </c>
      <c r="R14">
        <f t="shared" si="8"/>
        <v>0.98263975389848113</v>
      </c>
    </row>
    <row r="15" spans="1:21" x14ac:dyDescent="0.2">
      <c r="A15">
        <f>IF(tips!A15="Male",1,2)</f>
        <v>1</v>
      </c>
      <c r="B15">
        <f>IF(tips!B15="No",1,2)</f>
        <v>1</v>
      </c>
      <c r="C15">
        <f>IF(tips!D15="Dinner",1,2)</f>
        <v>1</v>
      </c>
      <c r="D15">
        <f>IF(tips!C15="Sun",1,IF(tips!C15="Fri",2,IF(tips!C15="Sat",3,IF(tips!C15="Thur",4))))</f>
        <v>1</v>
      </c>
      <c r="E15" s="2">
        <v>4</v>
      </c>
      <c r="F15" s="2">
        <v>18.43</v>
      </c>
      <c r="G15" s="8">
        <v>3</v>
      </c>
      <c r="H15" s="2"/>
      <c r="I15" s="3">
        <v>0.75944339705833919</v>
      </c>
      <c r="J15" s="3">
        <f t="shared" si="0"/>
        <v>3.7183538040686311E-2</v>
      </c>
      <c r="K15" s="3">
        <f t="shared" si="1"/>
        <v>-7.3687758526173666E-2</v>
      </c>
      <c r="L15" s="3">
        <f t="shared" si="2"/>
        <v>8.8727762736486165E-2</v>
      </c>
      <c r="M15" s="3">
        <f t="shared" si="3"/>
        <v>-5.3498842810068024E-2</v>
      </c>
      <c r="N15" s="3">
        <f t="shared" si="4"/>
        <v>0.69573246429438729</v>
      </c>
      <c r="O15" s="3">
        <f t="shared" si="5"/>
        <v>1.7393133762980542</v>
      </c>
      <c r="P15" s="8">
        <f t="shared" si="6"/>
        <v>3.1932139370917114</v>
      </c>
      <c r="Q15" s="2">
        <f t="shared" si="7"/>
        <v>-0.19321393709171142</v>
      </c>
      <c r="R15">
        <f t="shared" si="8"/>
        <v>3.7331625486479815E-2</v>
      </c>
    </row>
    <row r="16" spans="1:21" x14ac:dyDescent="0.2">
      <c r="A16">
        <f>IF(tips!A16="Male",1,2)</f>
        <v>2</v>
      </c>
      <c r="B16">
        <f>IF(tips!B16="No",1,2)</f>
        <v>1</v>
      </c>
      <c r="C16">
        <f>IF(tips!D16="Dinner",1,2)</f>
        <v>1</v>
      </c>
      <c r="D16">
        <f>IF(tips!C16="Sun",1,IF(tips!C16="Fri",2,IF(tips!C16="Sat",3,IF(tips!C16="Thur",4))))</f>
        <v>1</v>
      </c>
      <c r="E16" s="2">
        <v>2</v>
      </c>
      <c r="F16" s="2">
        <v>14.83</v>
      </c>
      <c r="G16" s="8">
        <v>3.02</v>
      </c>
      <c r="H16" s="2"/>
      <c r="I16" s="3">
        <v>0.75944339705833919</v>
      </c>
      <c r="J16" s="3">
        <f t="shared" si="0"/>
        <v>7.4367076081372621E-2</v>
      </c>
      <c r="K16" s="3">
        <f t="shared" si="1"/>
        <v>-7.3687758526173666E-2</v>
      </c>
      <c r="L16" s="3">
        <f t="shared" si="2"/>
        <v>8.8727762736486165E-2</v>
      </c>
      <c r="M16" s="3">
        <f t="shared" si="3"/>
        <v>-5.3498842810068024E-2</v>
      </c>
      <c r="N16" s="3">
        <f t="shared" si="4"/>
        <v>0.34786623214719364</v>
      </c>
      <c r="O16" s="3">
        <f t="shared" si="5"/>
        <v>1.3995668676342998</v>
      </c>
      <c r="P16" s="8">
        <f t="shared" si="6"/>
        <v>2.54278473432145</v>
      </c>
      <c r="Q16" s="2">
        <f t="shared" si="7"/>
        <v>0.47721526567854999</v>
      </c>
      <c r="R16">
        <f t="shared" si="8"/>
        <v>0.22773440979664905</v>
      </c>
    </row>
    <row r="17" spans="1:18" x14ac:dyDescent="0.2">
      <c r="A17">
        <f>IF(tips!A17="Male",1,2)</f>
        <v>1</v>
      </c>
      <c r="B17">
        <f>IF(tips!B17="No",1,2)</f>
        <v>1</v>
      </c>
      <c r="C17">
        <f>IF(tips!D17="Dinner",1,2)</f>
        <v>1</v>
      </c>
      <c r="D17">
        <f>IF(tips!C17="Sun",1,IF(tips!C17="Fri",2,IF(tips!C17="Sat",3,IF(tips!C17="Thur",4))))</f>
        <v>1</v>
      </c>
      <c r="E17" s="2">
        <v>2</v>
      </c>
      <c r="F17" s="2">
        <v>21.58</v>
      </c>
      <c r="G17" s="8">
        <v>3.92</v>
      </c>
      <c r="H17" s="2"/>
      <c r="I17" s="3">
        <v>0.75944339705833919</v>
      </c>
      <c r="J17" s="3">
        <f t="shared" si="0"/>
        <v>3.7183538040686311E-2</v>
      </c>
      <c r="K17" s="3">
        <f t="shared" si="1"/>
        <v>-7.3687758526173666E-2</v>
      </c>
      <c r="L17" s="3">
        <f t="shared" si="2"/>
        <v>8.8727762736486165E-2</v>
      </c>
      <c r="M17" s="3">
        <f t="shared" si="3"/>
        <v>-5.3498842810068024E-2</v>
      </c>
      <c r="N17" s="3">
        <f t="shared" si="4"/>
        <v>0.34786623214719364</v>
      </c>
      <c r="O17" s="3">
        <f t="shared" si="5"/>
        <v>2.0365915713788394</v>
      </c>
      <c r="P17" s="8">
        <f t="shared" si="6"/>
        <v>3.142625900025303</v>
      </c>
      <c r="Q17" s="2">
        <f t="shared" si="7"/>
        <v>0.77737409997469697</v>
      </c>
      <c r="R17">
        <f t="shared" si="8"/>
        <v>0.60431049131147019</v>
      </c>
    </row>
    <row r="18" spans="1:18" x14ac:dyDescent="0.2">
      <c r="A18">
        <f>IF(tips!A18="Male",1,2)</f>
        <v>2</v>
      </c>
      <c r="B18">
        <f>IF(tips!B18="No",1,2)</f>
        <v>1</v>
      </c>
      <c r="C18">
        <f>IF(tips!D18="Dinner",1,2)</f>
        <v>1</v>
      </c>
      <c r="D18">
        <f>IF(tips!C18="Sun",1,IF(tips!C18="Fri",2,IF(tips!C18="Sat",3,IF(tips!C18="Thur",4))))</f>
        <v>1</v>
      </c>
      <c r="E18" s="2">
        <v>3</v>
      </c>
      <c r="F18" s="2">
        <v>10.33</v>
      </c>
      <c r="G18" s="8">
        <v>1.67</v>
      </c>
      <c r="H18" s="2"/>
      <c r="I18" s="3">
        <v>0.75944339705833919</v>
      </c>
      <c r="J18" s="3">
        <f t="shared" si="0"/>
        <v>7.4367076081372621E-2</v>
      </c>
      <c r="K18" s="3">
        <f t="shared" si="1"/>
        <v>-7.3687758526173666E-2</v>
      </c>
      <c r="L18" s="3">
        <f t="shared" si="2"/>
        <v>8.8727762736486165E-2</v>
      </c>
      <c r="M18" s="3">
        <f t="shared" si="3"/>
        <v>-5.3498842810068024E-2</v>
      </c>
      <c r="N18" s="3">
        <f t="shared" si="4"/>
        <v>0.52179934822079044</v>
      </c>
      <c r="O18" s="3">
        <f t="shared" si="5"/>
        <v>0.97488373180460663</v>
      </c>
      <c r="P18" s="8">
        <f t="shared" si="6"/>
        <v>2.2920347145653537</v>
      </c>
      <c r="Q18" s="2">
        <f t="shared" si="7"/>
        <v>-0.62203471456535375</v>
      </c>
      <c r="R18">
        <f t="shared" si="8"/>
        <v>0.38692718612440113</v>
      </c>
    </row>
    <row r="19" spans="1:18" x14ac:dyDescent="0.2">
      <c r="A19">
        <f>IF(tips!A19="Male",1,2)</f>
        <v>1</v>
      </c>
      <c r="B19">
        <f>IF(tips!B19="No",1,2)</f>
        <v>1</v>
      </c>
      <c r="C19">
        <f>IF(tips!D19="Dinner",1,2)</f>
        <v>1</v>
      </c>
      <c r="D19">
        <f>IF(tips!C19="Sun",1,IF(tips!C19="Fri",2,IF(tips!C19="Sat",3,IF(tips!C19="Thur",4))))</f>
        <v>1</v>
      </c>
      <c r="E19" s="2">
        <v>3</v>
      </c>
      <c r="F19" s="2">
        <v>16.29</v>
      </c>
      <c r="G19" s="8">
        <v>3.71</v>
      </c>
      <c r="H19" s="2"/>
      <c r="I19" s="3">
        <v>0.75944339705833919</v>
      </c>
      <c r="J19" s="3">
        <f t="shared" si="0"/>
        <v>3.7183538040686311E-2</v>
      </c>
      <c r="K19" s="3">
        <f t="shared" si="1"/>
        <v>-7.3687758526173666E-2</v>
      </c>
      <c r="L19" s="3">
        <f t="shared" si="2"/>
        <v>8.8727762736486165E-2</v>
      </c>
      <c r="M19" s="3">
        <f t="shared" si="3"/>
        <v>-5.3498842810068024E-2</v>
      </c>
      <c r="N19" s="3">
        <f t="shared" si="4"/>
        <v>0.52179934822079044</v>
      </c>
      <c r="O19" s="3">
        <f t="shared" si="5"/>
        <v>1.537352951703489</v>
      </c>
      <c r="P19" s="8">
        <f t="shared" si="6"/>
        <v>2.8173203964235496</v>
      </c>
      <c r="Q19" s="2">
        <f t="shared" si="7"/>
        <v>0.89267960357645038</v>
      </c>
      <c r="R19">
        <f t="shared" si="8"/>
        <v>0.79687687464140855</v>
      </c>
    </row>
    <row r="20" spans="1:18" x14ac:dyDescent="0.2">
      <c r="A20">
        <f>IF(tips!A20="Male",1,2)</f>
        <v>2</v>
      </c>
      <c r="B20">
        <f>IF(tips!B20="No",1,2)</f>
        <v>1</v>
      </c>
      <c r="C20">
        <f>IF(tips!D20="Dinner",1,2)</f>
        <v>1</v>
      </c>
      <c r="D20">
        <f>IF(tips!C20="Sun",1,IF(tips!C20="Fri",2,IF(tips!C20="Sat",3,IF(tips!C20="Thur",4))))</f>
        <v>1</v>
      </c>
      <c r="E20" s="2">
        <v>3</v>
      </c>
      <c r="F20" s="2">
        <v>16.97</v>
      </c>
      <c r="G20" s="8">
        <v>3.5</v>
      </c>
      <c r="H20" s="2"/>
      <c r="I20" s="3">
        <v>0.75944339705833919</v>
      </c>
      <c r="J20" s="3">
        <f t="shared" si="0"/>
        <v>7.4367076081372621E-2</v>
      </c>
      <c r="K20" s="3">
        <f t="shared" si="1"/>
        <v>-7.3687758526173666E-2</v>
      </c>
      <c r="L20" s="3">
        <f t="shared" si="2"/>
        <v>8.8727762736486165E-2</v>
      </c>
      <c r="M20" s="3">
        <f t="shared" si="3"/>
        <v>-5.3498842810068024E-2</v>
      </c>
      <c r="N20" s="3">
        <f t="shared" si="4"/>
        <v>0.52179934822079044</v>
      </c>
      <c r="O20" s="3">
        <f t="shared" si="5"/>
        <v>1.6015272922288648</v>
      </c>
      <c r="P20" s="8">
        <f t="shared" si="6"/>
        <v>2.9186782749896114</v>
      </c>
      <c r="Q20" s="2">
        <f t="shared" si="7"/>
        <v>0.58132172501038859</v>
      </c>
      <c r="R20">
        <f t="shared" si="8"/>
        <v>0.33793494796905388</v>
      </c>
    </row>
    <row r="21" spans="1:18" x14ac:dyDescent="0.2">
      <c r="A21">
        <f>IF(tips!A21="Male",1,2)</f>
        <v>1</v>
      </c>
      <c r="B21">
        <f>IF(tips!B21="No",1,2)</f>
        <v>1</v>
      </c>
      <c r="C21">
        <f>IF(tips!D21="Dinner",1,2)</f>
        <v>1</v>
      </c>
      <c r="D21">
        <f>IF(tips!C21="Sun",1,IF(tips!C21="Fri",2,IF(tips!C21="Sat",3,IF(tips!C21="Thur",4))))</f>
        <v>3</v>
      </c>
      <c r="E21" s="2">
        <v>3</v>
      </c>
      <c r="F21" s="2">
        <v>20.65</v>
      </c>
      <c r="G21" s="8">
        <v>3.35</v>
      </c>
      <c r="H21" s="2"/>
      <c r="I21" s="3">
        <v>0.75944339705833919</v>
      </c>
      <c r="J21" s="3">
        <f t="shared" si="0"/>
        <v>3.7183538040686311E-2</v>
      </c>
      <c r="K21" s="3">
        <f t="shared" si="1"/>
        <v>-7.3687758526173666E-2</v>
      </c>
      <c r="L21" s="3">
        <f t="shared" si="2"/>
        <v>8.8727762736486165E-2</v>
      </c>
      <c r="M21" s="3">
        <f t="shared" si="3"/>
        <v>-0.16049652843020407</v>
      </c>
      <c r="N21" s="3">
        <f t="shared" si="4"/>
        <v>0.52179934822079044</v>
      </c>
      <c r="O21" s="3">
        <f t="shared" si="5"/>
        <v>1.9488237233073693</v>
      </c>
      <c r="P21" s="8">
        <f t="shared" si="6"/>
        <v>3.1217934824072939</v>
      </c>
      <c r="Q21" s="2">
        <f t="shared" si="7"/>
        <v>0.22820651759270616</v>
      </c>
      <c r="R21">
        <f t="shared" si="8"/>
        <v>5.2078214671790107E-2</v>
      </c>
    </row>
    <row r="22" spans="1:18" x14ac:dyDescent="0.2">
      <c r="A22">
        <f>IF(tips!A22="Male",1,2)</f>
        <v>1</v>
      </c>
      <c r="B22">
        <f>IF(tips!B22="No",1,2)</f>
        <v>1</v>
      </c>
      <c r="C22">
        <f>IF(tips!D22="Dinner",1,2)</f>
        <v>1</v>
      </c>
      <c r="D22">
        <f>IF(tips!C22="Sun",1,IF(tips!C22="Fri",2,IF(tips!C22="Sat",3,IF(tips!C22="Thur",4))))</f>
        <v>3</v>
      </c>
      <c r="E22" s="2">
        <v>2</v>
      </c>
      <c r="F22" s="2">
        <v>17.920000000000002</v>
      </c>
      <c r="G22" s="8">
        <v>4.08</v>
      </c>
      <c r="H22" s="2"/>
      <c r="I22" s="3">
        <v>0.75944339705833919</v>
      </c>
      <c r="J22" s="3">
        <f t="shared" si="0"/>
        <v>3.7183538040686311E-2</v>
      </c>
      <c r="K22" s="3">
        <f t="shared" si="1"/>
        <v>-7.3687758526173666E-2</v>
      </c>
      <c r="L22" s="3">
        <f t="shared" si="2"/>
        <v>8.8727762736486165E-2</v>
      </c>
      <c r="M22" s="3">
        <f t="shared" si="3"/>
        <v>-0.16049652843020407</v>
      </c>
      <c r="N22" s="3">
        <f t="shared" si="4"/>
        <v>0.34786623214719364</v>
      </c>
      <c r="O22" s="3">
        <f t="shared" si="5"/>
        <v>1.6911826209040226</v>
      </c>
      <c r="P22" s="8">
        <f t="shared" si="6"/>
        <v>2.6902192639303504</v>
      </c>
      <c r="Q22" s="2">
        <f t="shared" si="7"/>
        <v>1.3897807360696497</v>
      </c>
      <c r="R22">
        <f t="shared" si="8"/>
        <v>1.9314904943502973</v>
      </c>
    </row>
    <row r="23" spans="1:18" x14ac:dyDescent="0.2">
      <c r="A23">
        <f>IF(tips!A23="Male",1,2)</f>
        <v>2</v>
      </c>
      <c r="B23">
        <f>IF(tips!B23="No",1,2)</f>
        <v>1</v>
      </c>
      <c r="C23">
        <f>IF(tips!D23="Dinner",1,2)</f>
        <v>1</v>
      </c>
      <c r="D23">
        <f>IF(tips!C23="Sun",1,IF(tips!C23="Fri",2,IF(tips!C23="Sat",3,IF(tips!C23="Thur",4))))</f>
        <v>3</v>
      </c>
      <c r="E23" s="2">
        <v>2</v>
      </c>
      <c r="F23" s="2">
        <v>20.29</v>
      </c>
      <c r="G23" s="8">
        <v>2.75</v>
      </c>
      <c r="H23" s="2"/>
      <c r="I23" s="3">
        <v>0.75944339705833919</v>
      </c>
      <c r="J23" s="3">
        <f t="shared" si="0"/>
        <v>7.4367076081372621E-2</v>
      </c>
      <c r="K23" s="3">
        <f t="shared" si="1"/>
        <v>-7.3687758526173666E-2</v>
      </c>
      <c r="L23" s="3">
        <f t="shared" si="2"/>
        <v>8.8727762736486165E-2</v>
      </c>
      <c r="M23" s="3">
        <f t="shared" si="3"/>
        <v>-0.16049652843020407</v>
      </c>
      <c r="N23" s="3">
        <f t="shared" si="4"/>
        <v>0.34786623214719364</v>
      </c>
      <c r="O23" s="3">
        <f t="shared" si="5"/>
        <v>1.9148490724409939</v>
      </c>
      <c r="P23" s="8">
        <f t="shared" si="6"/>
        <v>2.9510692535080079</v>
      </c>
      <c r="Q23" s="2">
        <f t="shared" si="7"/>
        <v>-0.20106925350800786</v>
      </c>
      <c r="R23">
        <f t="shared" si="8"/>
        <v>4.0428844706267529E-2</v>
      </c>
    </row>
    <row r="24" spans="1:18" x14ac:dyDescent="0.2">
      <c r="A24">
        <f>IF(tips!A24="Male",1,2)</f>
        <v>2</v>
      </c>
      <c r="B24">
        <f>IF(tips!B24="No",1,2)</f>
        <v>1</v>
      </c>
      <c r="C24">
        <f>IF(tips!D24="Dinner",1,2)</f>
        <v>1</v>
      </c>
      <c r="D24">
        <f>IF(tips!C24="Sun",1,IF(tips!C24="Fri",2,IF(tips!C24="Sat",3,IF(tips!C24="Thur",4))))</f>
        <v>3</v>
      </c>
      <c r="E24" s="2">
        <v>2</v>
      </c>
      <c r="F24" s="2">
        <v>15.77</v>
      </c>
      <c r="G24" s="8">
        <v>2.23</v>
      </c>
      <c r="H24" s="2"/>
      <c r="I24" s="3">
        <v>0.75944339705833919</v>
      </c>
      <c r="J24" s="3">
        <f t="shared" si="0"/>
        <v>7.4367076081372621E-2</v>
      </c>
      <c r="K24" s="3">
        <f t="shared" si="1"/>
        <v>-7.3687758526173666E-2</v>
      </c>
      <c r="L24" s="3">
        <f t="shared" si="2"/>
        <v>8.8727762736486165E-2</v>
      </c>
      <c r="M24" s="3">
        <f t="shared" si="3"/>
        <v>-0.16049652843020407</v>
      </c>
      <c r="N24" s="3">
        <f t="shared" si="4"/>
        <v>0.34786623214719364</v>
      </c>
      <c r="O24" s="3">
        <f t="shared" si="5"/>
        <v>1.4882784560076134</v>
      </c>
      <c r="P24" s="8">
        <f t="shared" si="6"/>
        <v>2.5244986370746272</v>
      </c>
      <c r="Q24" s="2">
        <f t="shared" si="7"/>
        <v>-0.2944986370746272</v>
      </c>
      <c r="R24">
        <f t="shared" si="8"/>
        <v>8.6729447238812984E-2</v>
      </c>
    </row>
    <row r="25" spans="1:18" x14ac:dyDescent="0.2">
      <c r="A25">
        <f>IF(tips!A25="Male",1,2)</f>
        <v>1</v>
      </c>
      <c r="B25">
        <f>IF(tips!B25="No",1,2)</f>
        <v>1</v>
      </c>
      <c r="C25">
        <f>IF(tips!D25="Dinner",1,2)</f>
        <v>1</v>
      </c>
      <c r="D25">
        <f>IF(tips!C25="Sun",1,IF(tips!C25="Fri",2,IF(tips!C25="Sat",3,IF(tips!C25="Thur",4))))</f>
        <v>3</v>
      </c>
      <c r="E25" s="2">
        <v>4</v>
      </c>
      <c r="F25" s="2">
        <v>39.42</v>
      </c>
      <c r="G25" s="8">
        <v>7.58</v>
      </c>
      <c r="H25" s="2"/>
      <c r="I25" s="3">
        <v>0.75944339705833919</v>
      </c>
      <c r="J25" s="3">
        <f t="shared" si="0"/>
        <v>3.7183538040686311E-2</v>
      </c>
      <c r="K25" s="3">
        <f t="shared" si="1"/>
        <v>-7.3687758526173666E-2</v>
      </c>
      <c r="L25" s="3">
        <f t="shared" si="2"/>
        <v>8.8727762736486165E-2</v>
      </c>
      <c r="M25" s="3">
        <f t="shared" si="3"/>
        <v>-0.16049652843020407</v>
      </c>
      <c r="N25" s="3">
        <f t="shared" si="4"/>
        <v>0.69573246429438729</v>
      </c>
      <c r="O25" s="3">
        <f t="shared" si="5"/>
        <v>3.7202242698681118</v>
      </c>
      <c r="P25" s="8">
        <f t="shared" si="6"/>
        <v>5.0671271450416331</v>
      </c>
      <c r="Q25" s="2">
        <f t="shared" si="7"/>
        <v>2.512872854958367</v>
      </c>
      <c r="R25">
        <f t="shared" si="8"/>
        <v>6.3145299851866143</v>
      </c>
    </row>
    <row r="26" spans="1:18" x14ac:dyDescent="0.2">
      <c r="A26">
        <f>IF(tips!A26="Male",1,2)</f>
        <v>1</v>
      </c>
      <c r="B26">
        <f>IF(tips!B26="No",1,2)</f>
        <v>1</v>
      </c>
      <c r="C26">
        <f>IF(tips!D26="Dinner",1,2)</f>
        <v>1</v>
      </c>
      <c r="D26">
        <f>IF(tips!C26="Sun",1,IF(tips!C26="Fri",2,IF(tips!C26="Sat",3,IF(tips!C26="Thur",4))))</f>
        <v>3</v>
      </c>
      <c r="E26" s="2">
        <v>2</v>
      </c>
      <c r="F26" s="2">
        <v>19.82</v>
      </c>
      <c r="G26" s="8">
        <v>3.18</v>
      </c>
      <c r="H26" s="2"/>
      <c r="I26" s="3">
        <v>0.75944339705833919</v>
      </c>
      <c r="J26" s="3">
        <f t="shared" si="0"/>
        <v>3.7183538040686311E-2</v>
      </c>
      <c r="K26" s="3">
        <f t="shared" si="1"/>
        <v>-7.3687758526173666E-2</v>
      </c>
      <c r="L26" s="3">
        <f t="shared" si="2"/>
        <v>8.8727762736486165E-2</v>
      </c>
      <c r="M26" s="3">
        <f t="shared" si="3"/>
        <v>-0.16049652843020407</v>
      </c>
      <c r="N26" s="3">
        <f t="shared" si="4"/>
        <v>0.34786623214719364</v>
      </c>
      <c r="O26" s="3">
        <f t="shared" si="5"/>
        <v>1.8704932782543373</v>
      </c>
      <c r="P26" s="8">
        <f t="shared" si="6"/>
        <v>2.8695299212806651</v>
      </c>
      <c r="Q26" s="2">
        <f t="shared" si="7"/>
        <v>0.31047007871933507</v>
      </c>
      <c r="R26">
        <f t="shared" si="8"/>
        <v>9.6391669779990113E-2</v>
      </c>
    </row>
    <row r="27" spans="1:18" x14ac:dyDescent="0.2">
      <c r="A27">
        <f>IF(tips!A27="Male",1,2)</f>
        <v>1</v>
      </c>
      <c r="B27">
        <f>IF(tips!B27="No",1,2)</f>
        <v>1</v>
      </c>
      <c r="C27">
        <f>IF(tips!D27="Dinner",1,2)</f>
        <v>1</v>
      </c>
      <c r="D27">
        <f>IF(tips!C27="Sun",1,IF(tips!C27="Fri",2,IF(tips!C27="Sat",3,IF(tips!C27="Thur",4))))</f>
        <v>3</v>
      </c>
      <c r="E27" s="2">
        <v>4</v>
      </c>
      <c r="F27" s="2">
        <v>17.809999999999999</v>
      </c>
      <c r="G27" s="8">
        <v>2.34</v>
      </c>
      <c r="H27" s="2"/>
      <c r="I27" s="3">
        <v>0.75944339705833919</v>
      </c>
      <c r="J27" s="3">
        <f t="shared" si="0"/>
        <v>3.7183538040686311E-2</v>
      </c>
      <c r="K27" s="3">
        <f t="shared" si="1"/>
        <v>-7.3687758526173666E-2</v>
      </c>
      <c r="L27" s="3">
        <f t="shared" si="2"/>
        <v>8.8727762736486165E-2</v>
      </c>
      <c r="M27" s="3">
        <f t="shared" si="3"/>
        <v>-0.16049652843020407</v>
      </c>
      <c r="N27" s="3">
        <f t="shared" si="4"/>
        <v>0.69573246429438729</v>
      </c>
      <c r="O27" s="3">
        <f t="shared" si="5"/>
        <v>1.6808014775837408</v>
      </c>
      <c r="P27" s="8">
        <f t="shared" si="6"/>
        <v>3.027704352757262</v>
      </c>
      <c r="Q27" s="2">
        <f t="shared" si="7"/>
        <v>-0.68770435275726216</v>
      </c>
      <c r="R27">
        <f t="shared" si="8"/>
        <v>0.47293727680128489</v>
      </c>
    </row>
    <row r="28" spans="1:18" x14ac:dyDescent="0.2">
      <c r="A28">
        <f>IF(tips!A28="Male",1,2)</f>
        <v>1</v>
      </c>
      <c r="B28">
        <f>IF(tips!B28="No",1,2)</f>
        <v>1</v>
      </c>
      <c r="C28">
        <f>IF(tips!D28="Dinner",1,2)</f>
        <v>1</v>
      </c>
      <c r="D28">
        <f>IF(tips!C28="Sun",1,IF(tips!C28="Fri",2,IF(tips!C28="Sat",3,IF(tips!C28="Thur",4))))</f>
        <v>3</v>
      </c>
      <c r="E28" s="2">
        <v>2</v>
      </c>
      <c r="F28" s="2">
        <v>13.37</v>
      </c>
      <c r="G28" s="8">
        <v>2</v>
      </c>
      <c r="H28" s="2"/>
      <c r="I28" s="3">
        <v>0.75944339705833919</v>
      </c>
      <c r="J28" s="3">
        <f t="shared" si="0"/>
        <v>3.7183538040686311E-2</v>
      </c>
      <c r="K28" s="3">
        <f t="shared" si="1"/>
        <v>-7.3687758526173666E-2</v>
      </c>
      <c r="L28" s="3">
        <f t="shared" si="2"/>
        <v>8.8727762736486165E-2</v>
      </c>
      <c r="M28" s="3">
        <f t="shared" si="3"/>
        <v>-0.16049652843020407</v>
      </c>
      <c r="N28" s="3">
        <f t="shared" si="4"/>
        <v>0.34786623214719364</v>
      </c>
      <c r="O28" s="3">
        <f t="shared" si="5"/>
        <v>1.2617807835651103</v>
      </c>
      <c r="P28" s="8">
        <f t="shared" si="6"/>
        <v>2.260817426591438</v>
      </c>
      <c r="Q28" s="2">
        <f t="shared" si="7"/>
        <v>-0.26081742659143803</v>
      </c>
      <c r="R28">
        <f t="shared" si="8"/>
        <v>6.8025730013780164E-2</v>
      </c>
    </row>
    <row r="29" spans="1:18" x14ac:dyDescent="0.2">
      <c r="A29">
        <f>IF(tips!A29="Male",1,2)</f>
        <v>1</v>
      </c>
      <c r="B29">
        <f>IF(tips!B29="No",1,2)</f>
        <v>1</v>
      </c>
      <c r="C29">
        <f>IF(tips!D29="Dinner",1,2)</f>
        <v>1</v>
      </c>
      <c r="D29">
        <f>IF(tips!C29="Sun",1,IF(tips!C29="Fri",2,IF(tips!C29="Sat",3,IF(tips!C29="Thur",4))))</f>
        <v>3</v>
      </c>
      <c r="E29" s="2">
        <v>2</v>
      </c>
      <c r="F29" s="2">
        <v>12.69</v>
      </c>
      <c r="G29" s="8">
        <v>2</v>
      </c>
      <c r="H29" s="2"/>
      <c r="I29" s="3">
        <v>0.75944339705833919</v>
      </c>
      <c r="J29" s="3">
        <f t="shared" si="0"/>
        <v>3.7183538040686311E-2</v>
      </c>
      <c r="K29" s="3">
        <f t="shared" si="1"/>
        <v>-7.3687758526173666E-2</v>
      </c>
      <c r="L29" s="3">
        <f t="shared" si="2"/>
        <v>8.8727762736486165E-2</v>
      </c>
      <c r="M29" s="3">
        <f t="shared" si="3"/>
        <v>-0.16049652843020407</v>
      </c>
      <c r="N29" s="3">
        <f t="shared" si="4"/>
        <v>0.34786623214719364</v>
      </c>
      <c r="O29" s="3">
        <f t="shared" si="5"/>
        <v>1.1976064430397346</v>
      </c>
      <c r="P29" s="8">
        <f t="shared" si="6"/>
        <v>2.1966430860660622</v>
      </c>
      <c r="Q29" s="2">
        <f t="shared" si="7"/>
        <v>-0.19664308606606218</v>
      </c>
      <c r="R29">
        <f t="shared" si="8"/>
        <v>3.8668503297584735E-2</v>
      </c>
    </row>
    <row r="30" spans="1:18" x14ac:dyDescent="0.2">
      <c r="A30">
        <f>IF(tips!A30="Male",1,2)</f>
        <v>1</v>
      </c>
      <c r="B30">
        <f>IF(tips!B30="No",1,2)</f>
        <v>1</v>
      </c>
      <c r="C30">
        <f>IF(tips!D30="Dinner",1,2)</f>
        <v>1</v>
      </c>
      <c r="D30">
        <f>IF(tips!C30="Sun",1,IF(tips!C30="Fri",2,IF(tips!C30="Sat",3,IF(tips!C30="Thur",4))))</f>
        <v>3</v>
      </c>
      <c r="E30" s="2">
        <v>2</v>
      </c>
      <c r="F30" s="2">
        <v>21.7</v>
      </c>
      <c r="G30" s="8">
        <v>4.3</v>
      </c>
      <c r="H30" s="2"/>
      <c r="I30" s="3">
        <v>0.75944339705833919</v>
      </c>
      <c r="J30" s="3">
        <f t="shared" si="0"/>
        <v>3.7183538040686311E-2</v>
      </c>
      <c r="K30" s="3">
        <f t="shared" si="1"/>
        <v>-7.3687758526173666E-2</v>
      </c>
      <c r="L30" s="3">
        <f t="shared" si="2"/>
        <v>8.8727762736486165E-2</v>
      </c>
      <c r="M30" s="3">
        <f t="shared" si="3"/>
        <v>-0.16049652843020407</v>
      </c>
      <c r="N30" s="3">
        <f t="shared" si="4"/>
        <v>0.34786623214719364</v>
      </c>
      <c r="O30" s="3">
        <f t="shared" si="5"/>
        <v>2.0479164550009643</v>
      </c>
      <c r="P30" s="8">
        <f t="shared" si="6"/>
        <v>3.0469530980272919</v>
      </c>
      <c r="Q30" s="2">
        <f t="shared" si="7"/>
        <v>1.253046901972708</v>
      </c>
      <c r="R30">
        <f t="shared" si="8"/>
        <v>1.5701265385434011</v>
      </c>
    </row>
    <row r="31" spans="1:18" x14ac:dyDescent="0.2">
      <c r="A31">
        <f>IF(tips!A31="Male",1,2)</f>
        <v>2</v>
      </c>
      <c r="B31">
        <f>IF(tips!B31="No",1,2)</f>
        <v>1</v>
      </c>
      <c r="C31">
        <f>IF(tips!D31="Dinner",1,2)</f>
        <v>1</v>
      </c>
      <c r="D31">
        <f>IF(tips!C31="Sun",1,IF(tips!C31="Fri",2,IF(tips!C31="Sat",3,IF(tips!C31="Thur",4))))</f>
        <v>3</v>
      </c>
      <c r="E31" s="2">
        <v>2</v>
      </c>
      <c r="F31" s="2">
        <v>19.649999999999999</v>
      </c>
      <c r="G31" s="8">
        <v>3</v>
      </c>
      <c r="H31" s="2"/>
      <c r="I31" s="3">
        <v>0.75944339705833919</v>
      </c>
      <c r="J31" s="3">
        <f t="shared" si="0"/>
        <v>7.4367076081372621E-2</v>
      </c>
      <c r="K31" s="3">
        <f t="shared" si="1"/>
        <v>-7.3687758526173666E-2</v>
      </c>
      <c r="L31" s="3">
        <f t="shared" si="2"/>
        <v>8.8727762736486165E-2</v>
      </c>
      <c r="M31" s="3">
        <f t="shared" si="3"/>
        <v>-0.16049652843020407</v>
      </c>
      <c r="N31" s="3">
        <f t="shared" si="4"/>
        <v>0.34786623214719364</v>
      </c>
      <c r="O31" s="3">
        <f t="shared" si="5"/>
        <v>1.8544496931229932</v>
      </c>
      <c r="P31" s="8">
        <f t="shared" si="6"/>
        <v>2.8906698741900074</v>
      </c>
      <c r="Q31" s="2">
        <f t="shared" si="7"/>
        <v>0.10933012580999257</v>
      </c>
      <c r="R31">
        <f t="shared" si="8"/>
        <v>1.1953076409628805E-2</v>
      </c>
    </row>
    <row r="32" spans="1:18" x14ac:dyDescent="0.2">
      <c r="A32">
        <f>IF(tips!A32="Male",1,2)</f>
        <v>1</v>
      </c>
      <c r="B32">
        <f>IF(tips!B32="No",1,2)</f>
        <v>1</v>
      </c>
      <c r="C32">
        <f>IF(tips!D32="Dinner",1,2)</f>
        <v>1</v>
      </c>
      <c r="D32">
        <f>IF(tips!C32="Sun",1,IF(tips!C32="Fri",2,IF(tips!C32="Sat",3,IF(tips!C32="Thur",4))))</f>
        <v>3</v>
      </c>
      <c r="E32" s="2">
        <v>2</v>
      </c>
      <c r="F32" s="2">
        <v>9.5500000000000007</v>
      </c>
      <c r="G32" s="8">
        <v>1.45</v>
      </c>
      <c r="H32" s="2"/>
      <c r="I32" s="3">
        <v>0.75944339705833919</v>
      </c>
      <c r="J32" s="3">
        <f t="shared" si="0"/>
        <v>3.7183538040686311E-2</v>
      </c>
      <c r="K32" s="3">
        <f t="shared" si="1"/>
        <v>-7.3687758526173666E-2</v>
      </c>
      <c r="L32" s="3">
        <f t="shared" si="2"/>
        <v>8.8727762736486165E-2</v>
      </c>
      <c r="M32" s="3">
        <f t="shared" si="3"/>
        <v>-0.16049652843020407</v>
      </c>
      <c r="N32" s="3">
        <f t="shared" si="4"/>
        <v>0.34786623214719364</v>
      </c>
      <c r="O32" s="3">
        <f t="shared" si="5"/>
        <v>0.90127198826079324</v>
      </c>
      <c r="P32" s="8">
        <f t="shared" si="6"/>
        <v>1.9003086312871207</v>
      </c>
      <c r="Q32" s="2">
        <f t="shared" si="7"/>
        <v>-0.45030863128712073</v>
      </c>
      <c r="R32">
        <f t="shared" si="8"/>
        <v>0.20277786341168005</v>
      </c>
    </row>
    <row r="33" spans="1:18" x14ac:dyDescent="0.2">
      <c r="A33">
        <f>IF(tips!A33="Male",1,2)</f>
        <v>1</v>
      </c>
      <c r="B33">
        <f>IF(tips!B33="No",1,2)</f>
        <v>1</v>
      </c>
      <c r="C33">
        <f>IF(tips!D33="Dinner",1,2)</f>
        <v>1</v>
      </c>
      <c r="D33">
        <f>IF(tips!C33="Sun",1,IF(tips!C33="Fri",2,IF(tips!C33="Sat",3,IF(tips!C33="Thur",4))))</f>
        <v>3</v>
      </c>
      <c r="E33" s="2">
        <v>4</v>
      </c>
      <c r="F33" s="2">
        <v>18.350000000000001</v>
      </c>
      <c r="G33" s="8">
        <v>2.5</v>
      </c>
      <c r="H33" s="2"/>
      <c r="I33" s="3">
        <v>0.75944339705833919</v>
      </c>
      <c r="J33" s="3">
        <f t="shared" si="0"/>
        <v>3.7183538040686311E-2</v>
      </c>
      <c r="K33" s="3">
        <f t="shared" si="1"/>
        <v>-7.3687758526173666E-2</v>
      </c>
      <c r="L33" s="3">
        <f t="shared" si="2"/>
        <v>8.8727762736486165E-2</v>
      </c>
      <c r="M33" s="3">
        <f t="shared" si="3"/>
        <v>-0.16049652843020407</v>
      </c>
      <c r="N33" s="3">
        <f t="shared" si="4"/>
        <v>0.69573246429438729</v>
      </c>
      <c r="O33" s="3">
        <f t="shared" si="5"/>
        <v>1.7317634538833042</v>
      </c>
      <c r="P33" s="8">
        <f t="shared" si="6"/>
        <v>3.0786663290568255</v>
      </c>
      <c r="Q33" s="2">
        <f t="shared" si="7"/>
        <v>-0.57866632905682547</v>
      </c>
      <c r="R33">
        <f t="shared" si="8"/>
        <v>0.33485472038410219</v>
      </c>
    </row>
    <row r="34" spans="1:18" x14ac:dyDescent="0.2">
      <c r="A34">
        <f>IF(tips!A34="Male",1,2)</f>
        <v>2</v>
      </c>
      <c r="B34">
        <f>IF(tips!B34="No",1,2)</f>
        <v>1</v>
      </c>
      <c r="C34">
        <f>IF(tips!D34="Dinner",1,2)</f>
        <v>1</v>
      </c>
      <c r="D34">
        <f>IF(tips!C34="Sun",1,IF(tips!C34="Fri",2,IF(tips!C34="Sat",3,IF(tips!C34="Thur",4))))</f>
        <v>3</v>
      </c>
      <c r="E34" s="2">
        <v>2</v>
      </c>
      <c r="F34" s="2">
        <v>15.06</v>
      </c>
      <c r="G34" s="8">
        <v>3</v>
      </c>
      <c r="H34" s="2"/>
      <c r="I34" s="3">
        <v>0.75944339705833919</v>
      </c>
      <c r="J34" s="3">
        <f t="shared" si="0"/>
        <v>7.4367076081372621E-2</v>
      </c>
      <c r="K34" s="3">
        <f t="shared" si="1"/>
        <v>-7.3687758526173666E-2</v>
      </c>
      <c r="L34" s="3">
        <f t="shared" si="2"/>
        <v>8.8727762736486165E-2</v>
      </c>
      <c r="M34" s="3">
        <f t="shared" si="3"/>
        <v>-0.16049652843020407</v>
      </c>
      <c r="N34" s="3">
        <f t="shared" si="4"/>
        <v>0.34786623214719364</v>
      </c>
      <c r="O34" s="3">
        <f t="shared" si="5"/>
        <v>1.4212728945767064</v>
      </c>
      <c r="P34" s="8">
        <f t="shared" si="6"/>
        <v>2.4574930756437201</v>
      </c>
      <c r="Q34" s="2">
        <f t="shared" si="7"/>
        <v>0.5425069243562799</v>
      </c>
      <c r="R34">
        <f t="shared" si="8"/>
        <v>0.2943137629745104</v>
      </c>
    </row>
    <row r="35" spans="1:18" x14ac:dyDescent="0.2">
      <c r="A35">
        <f>IF(tips!A35="Male",1,2)</f>
        <v>2</v>
      </c>
      <c r="B35">
        <f>IF(tips!B35="No",1,2)</f>
        <v>1</v>
      </c>
      <c r="C35">
        <f>IF(tips!D35="Dinner",1,2)</f>
        <v>1</v>
      </c>
      <c r="D35">
        <f>IF(tips!C35="Sun",1,IF(tips!C35="Fri",2,IF(tips!C35="Sat",3,IF(tips!C35="Thur",4))))</f>
        <v>3</v>
      </c>
      <c r="E35" s="2">
        <v>4</v>
      </c>
      <c r="F35" s="2">
        <v>20.69</v>
      </c>
      <c r="G35" s="8">
        <v>2.4500000000000002</v>
      </c>
      <c r="H35" s="2"/>
      <c r="I35" s="3">
        <v>0.75944339705833919</v>
      </c>
      <c r="J35" s="3">
        <f t="shared" si="0"/>
        <v>7.4367076081372621E-2</v>
      </c>
      <c r="K35" s="3">
        <f t="shared" si="1"/>
        <v>-7.3687758526173666E-2</v>
      </c>
      <c r="L35" s="3">
        <f t="shared" si="2"/>
        <v>8.8727762736486165E-2</v>
      </c>
      <c r="M35" s="3">
        <f t="shared" si="3"/>
        <v>-0.16049652843020407</v>
      </c>
      <c r="N35" s="3">
        <f t="shared" si="4"/>
        <v>0.69573246429438729</v>
      </c>
      <c r="O35" s="3">
        <f t="shared" si="5"/>
        <v>1.9525986845147447</v>
      </c>
      <c r="P35" s="8">
        <f t="shared" si="6"/>
        <v>3.3366850977289522</v>
      </c>
      <c r="Q35" s="2">
        <f t="shared" si="7"/>
        <v>-0.88668509772895199</v>
      </c>
      <c r="R35">
        <f t="shared" si="8"/>
        <v>0.78621046253460114</v>
      </c>
    </row>
    <row r="36" spans="1:18" x14ac:dyDescent="0.2">
      <c r="A36">
        <f>IF(tips!A36="Male",1,2)</f>
        <v>1</v>
      </c>
      <c r="B36">
        <f>IF(tips!B36="No",1,2)</f>
        <v>1</v>
      </c>
      <c r="C36">
        <f>IF(tips!D36="Dinner",1,2)</f>
        <v>1</v>
      </c>
      <c r="D36">
        <f>IF(tips!C36="Sun",1,IF(tips!C36="Fri",2,IF(tips!C36="Sat",3,IF(tips!C36="Thur",4))))</f>
        <v>3</v>
      </c>
      <c r="E36" s="2">
        <v>2</v>
      </c>
      <c r="F36" s="2">
        <v>17.78</v>
      </c>
      <c r="G36" s="8">
        <v>3.27</v>
      </c>
      <c r="H36" s="2"/>
      <c r="I36" s="3">
        <v>0.75944339705833919</v>
      </c>
      <c r="J36" s="3">
        <f t="shared" si="0"/>
        <v>3.7183538040686311E-2</v>
      </c>
      <c r="K36" s="3">
        <f t="shared" si="1"/>
        <v>-7.3687758526173666E-2</v>
      </c>
      <c r="L36" s="3">
        <f t="shared" si="2"/>
        <v>8.8727762736486165E-2</v>
      </c>
      <c r="M36" s="3">
        <f t="shared" si="3"/>
        <v>-0.16049652843020407</v>
      </c>
      <c r="N36" s="3">
        <f t="shared" si="4"/>
        <v>0.34786623214719364</v>
      </c>
      <c r="O36" s="3">
        <f t="shared" si="5"/>
        <v>1.6779702566782098</v>
      </c>
      <c r="P36" s="8">
        <f t="shared" si="6"/>
        <v>2.6770068997045371</v>
      </c>
      <c r="Q36" s="2">
        <f t="shared" si="7"/>
        <v>0.59299310029546293</v>
      </c>
      <c r="R36">
        <f t="shared" si="8"/>
        <v>0.35164081699802496</v>
      </c>
    </row>
    <row r="37" spans="1:18" x14ac:dyDescent="0.2">
      <c r="A37">
        <f>IF(tips!A37="Male",1,2)</f>
        <v>1</v>
      </c>
      <c r="B37">
        <f>IF(tips!B37="No",1,2)</f>
        <v>1</v>
      </c>
      <c r="C37">
        <f>IF(tips!D37="Dinner",1,2)</f>
        <v>1</v>
      </c>
      <c r="D37">
        <f>IF(tips!C37="Sun",1,IF(tips!C37="Fri",2,IF(tips!C37="Sat",3,IF(tips!C37="Thur",4))))</f>
        <v>3</v>
      </c>
      <c r="E37" s="2">
        <v>3</v>
      </c>
      <c r="F37" s="2">
        <v>24.06</v>
      </c>
      <c r="G37" s="8">
        <v>3.6</v>
      </c>
      <c r="H37" s="2"/>
      <c r="I37" s="3">
        <v>0.75944339705833919</v>
      </c>
      <c r="J37" s="3">
        <f t="shared" si="0"/>
        <v>3.7183538040686311E-2</v>
      </c>
      <c r="K37" s="3">
        <f t="shared" si="1"/>
        <v>-7.3687758526173666E-2</v>
      </c>
      <c r="L37" s="3">
        <f t="shared" si="2"/>
        <v>8.8727762736486165E-2</v>
      </c>
      <c r="M37" s="3">
        <f t="shared" si="3"/>
        <v>-0.16049652843020407</v>
      </c>
      <c r="N37" s="3">
        <f t="shared" si="4"/>
        <v>0.52179934822079044</v>
      </c>
      <c r="O37" s="3">
        <f t="shared" si="5"/>
        <v>2.2706391662360925</v>
      </c>
      <c r="P37" s="8">
        <f t="shared" si="6"/>
        <v>3.4436089253360169</v>
      </c>
      <c r="Q37" s="2">
        <f t="shared" si="7"/>
        <v>0.15639107466398317</v>
      </c>
      <c r="R37">
        <f t="shared" si="8"/>
        <v>2.4458168234555558E-2</v>
      </c>
    </row>
    <row r="38" spans="1:18" x14ac:dyDescent="0.2">
      <c r="A38">
        <f>IF(tips!A38="Male",1,2)</f>
        <v>1</v>
      </c>
      <c r="B38">
        <f>IF(tips!B38="No",1,2)</f>
        <v>1</v>
      </c>
      <c r="C38">
        <f>IF(tips!D38="Dinner",1,2)</f>
        <v>1</v>
      </c>
      <c r="D38">
        <f>IF(tips!C38="Sun",1,IF(tips!C38="Fri",2,IF(tips!C38="Sat",3,IF(tips!C38="Thur",4))))</f>
        <v>3</v>
      </c>
      <c r="E38" s="2">
        <v>3</v>
      </c>
      <c r="F38" s="2">
        <v>16.309999999999999</v>
      </c>
      <c r="G38" s="8">
        <v>2</v>
      </c>
      <c r="H38" s="2"/>
      <c r="I38" s="3">
        <v>0.75944339705833919</v>
      </c>
      <c r="J38" s="3">
        <f t="shared" si="0"/>
        <v>3.7183538040686311E-2</v>
      </c>
      <c r="K38" s="3">
        <f t="shared" si="1"/>
        <v>-7.3687758526173666E-2</v>
      </c>
      <c r="L38" s="3">
        <f t="shared" si="2"/>
        <v>8.8727762736486165E-2</v>
      </c>
      <c r="M38" s="3">
        <f t="shared" si="3"/>
        <v>-0.16049652843020407</v>
      </c>
      <c r="N38" s="3">
        <f t="shared" si="4"/>
        <v>0.52179934822079044</v>
      </c>
      <c r="O38" s="3">
        <f t="shared" si="5"/>
        <v>1.5392404323071764</v>
      </c>
      <c r="P38" s="8">
        <f t="shared" si="6"/>
        <v>2.7122101914071006</v>
      </c>
      <c r="Q38" s="2">
        <f t="shared" si="7"/>
        <v>-0.71221019140710062</v>
      </c>
      <c r="R38">
        <f t="shared" si="8"/>
        <v>0.5072433567441389</v>
      </c>
    </row>
    <row r="39" spans="1:18" x14ac:dyDescent="0.2">
      <c r="A39">
        <f>IF(tips!A39="Male",1,2)</f>
        <v>2</v>
      </c>
      <c r="B39">
        <f>IF(tips!B39="No",1,2)</f>
        <v>1</v>
      </c>
      <c r="C39">
        <f>IF(tips!D39="Dinner",1,2)</f>
        <v>1</v>
      </c>
      <c r="D39">
        <f>IF(tips!C39="Sun",1,IF(tips!C39="Fri",2,IF(tips!C39="Sat",3,IF(tips!C39="Thur",4))))</f>
        <v>3</v>
      </c>
      <c r="E39" s="2">
        <v>3</v>
      </c>
      <c r="F39" s="2">
        <v>16.93</v>
      </c>
      <c r="G39" s="8">
        <v>3.07</v>
      </c>
      <c r="H39" s="2"/>
      <c r="I39" s="3">
        <v>0.75944339705833919</v>
      </c>
      <c r="J39" s="3">
        <f t="shared" si="0"/>
        <v>7.4367076081372621E-2</v>
      </c>
      <c r="K39" s="3">
        <f t="shared" si="1"/>
        <v>-7.3687758526173666E-2</v>
      </c>
      <c r="L39" s="3">
        <f t="shared" si="2"/>
        <v>8.8727762736486165E-2</v>
      </c>
      <c r="M39" s="3">
        <f t="shared" si="3"/>
        <v>-0.16049652843020407</v>
      </c>
      <c r="N39" s="3">
        <f t="shared" si="4"/>
        <v>0.52179934822079044</v>
      </c>
      <c r="O39" s="3">
        <f t="shared" si="5"/>
        <v>1.5977523310214898</v>
      </c>
      <c r="P39" s="8">
        <f t="shared" si="6"/>
        <v>2.8079056281621009</v>
      </c>
      <c r="Q39" s="2">
        <f t="shared" si="7"/>
        <v>0.26209437183789897</v>
      </c>
      <c r="R39">
        <f t="shared" si="8"/>
        <v>6.8693459749102848E-2</v>
      </c>
    </row>
    <row r="40" spans="1:18" x14ac:dyDescent="0.2">
      <c r="A40">
        <f>IF(tips!A40="Male",1,2)</f>
        <v>1</v>
      </c>
      <c r="B40">
        <f>IF(tips!B40="No",1,2)</f>
        <v>1</v>
      </c>
      <c r="C40">
        <f>IF(tips!D40="Dinner",1,2)</f>
        <v>1</v>
      </c>
      <c r="D40">
        <f>IF(tips!C40="Sun",1,IF(tips!C40="Fri",2,IF(tips!C40="Sat",3,IF(tips!C40="Thur",4))))</f>
        <v>3</v>
      </c>
      <c r="E40" s="2">
        <v>3</v>
      </c>
      <c r="F40" s="2">
        <v>18.690000000000001</v>
      </c>
      <c r="G40" s="8">
        <v>2.31</v>
      </c>
      <c r="H40" s="2"/>
      <c r="I40" s="3">
        <v>0.75944339705833919</v>
      </c>
      <c r="J40" s="3">
        <f t="shared" si="0"/>
        <v>3.7183538040686311E-2</v>
      </c>
      <c r="K40" s="3">
        <f t="shared" si="1"/>
        <v>-7.3687758526173666E-2</v>
      </c>
      <c r="L40" s="3">
        <f t="shared" si="2"/>
        <v>8.8727762736486165E-2</v>
      </c>
      <c r="M40" s="3">
        <f t="shared" si="3"/>
        <v>-0.16049652843020407</v>
      </c>
      <c r="N40" s="3">
        <f t="shared" si="4"/>
        <v>0.52179934822079044</v>
      </c>
      <c r="O40" s="3">
        <f t="shared" si="5"/>
        <v>1.7638506241459921</v>
      </c>
      <c r="P40" s="8">
        <f t="shared" si="6"/>
        <v>2.9368203832459168</v>
      </c>
      <c r="Q40" s="2">
        <f t="shared" si="7"/>
        <v>-0.62682038324591671</v>
      </c>
      <c r="R40">
        <f t="shared" si="8"/>
        <v>0.39290379285255789</v>
      </c>
    </row>
    <row r="41" spans="1:18" x14ac:dyDescent="0.2">
      <c r="A41">
        <f>IF(tips!A41="Male",1,2)</f>
        <v>1</v>
      </c>
      <c r="B41">
        <f>IF(tips!B41="No",1,2)</f>
        <v>1</v>
      </c>
      <c r="C41">
        <f>IF(tips!D41="Dinner",1,2)</f>
        <v>1</v>
      </c>
      <c r="D41">
        <f>IF(tips!C41="Sun",1,IF(tips!C41="Fri",2,IF(tips!C41="Sat",3,IF(tips!C41="Thur",4))))</f>
        <v>3</v>
      </c>
      <c r="E41" s="2">
        <v>3</v>
      </c>
      <c r="F41" s="2">
        <v>31.27</v>
      </c>
      <c r="G41" s="8">
        <v>5</v>
      </c>
      <c r="H41" s="2"/>
      <c r="I41" s="3">
        <v>0.75944339705833919</v>
      </c>
      <c r="J41" s="3">
        <f t="shared" si="0"/>
        <v>3.7183538040686311E-2</v>
      </c>
      <c r="K41" s="3">
        <f t="shared" si="1"/>
        <v>-7.3687758526173666E-2</v>
      </c>
      <c r="L41" s="3">
        <f t="shared" si="2"/>
        <v>8.8727762736486165E-2</v>
      </c>
      <c r="M41" s="3">
        <f t="shared" si="3"/>
        <v>-0.16049652843020407</v>
      </c>
      <c r="N41" s="3">
        <f t="shared" si="4"/>
        <v>0.52179934822079044</v>
      </c>
      <c r="O41" s="3">
        <f t="shared" si="5"/>
        <v>2.9510759238654454</v>
      </c>
      <c r="P41" s="8">
        <f t="shared" si="6"/>
        <v>4.1240456829653702</v>
      </c>
      <c r="Q41" s="2">
        <f t="shared" si="7"/>
        <v>0.87595431703462978</v>
      </c>
      <c r="R41">
        <f t="shared" si="8"/>
        <v>0.76729596553160473</v>
      </c>
    </row>
    <row r="42" spans="1:18" x14ac:dyDescent="0.2">
      <c r="A42">
        <f>IF(tips!A42="Male",1,2)</f>
        <v>1</v>
      </c>
      <c r="B42">
        <f>IF(tips!B42="No",1,2)</f>
        <v>1</v>
      </c>
      <c r="C42">
        <f>IF(tips!D42="Dinner",1,2)</f>
        <v>1</v>
      </c>
      <c r="D42">
        <f>IF(tips!C42="Sun",1,IF(tips!C42="Fri",2,IF(tips!C42="Sat",3,IF(tips!C42="Thur",4))))</f>
        <v>3</v>
      </c>
      <c r="E42" s="2">
        <v>3</v>
      </c>
      <c r="F42" s="2">
        <v>16.04</v>
      </c>
      <c r="G42" s="8">
        <v>2.2400000000000002</v>
      </c>
      <c r="H42" s="2"/>
      <c r="I42" s="3">
        <v>0.75944339705833919</v>
      </c>
      <c r="J42" s="3">
        <f t="shared" si="0"/>
        <v>3.7183538040686311E-2</v>
      </c>
      <c r="K42" s="3">
        <f t="shared" si="1"/>
        <v>-7.3687758526173666E-2</v>
      </c>
      <c r="L42" s="3">
        <f t="shared" si="2"/>
        <v>8.8727762736486165E-2</v>
      </c>
      <c r="M42" s="3">
        <f t="shared" si="3"/>
        <v>-0.16049652843020407</v>
      </c>
      <c r="N42" s="3">
        <f t="shared" si="4"/>
        <v>0.52179934822079044</v>
      </c>
      <c r="O42" s="3">
        <f t="shared" si="5"/>
        <v>1.5137594441573949</v>
      </c>
      <c r="P42" s="8">
        <f t="shared" si="6"/>
        <v>2.6867292032573191</v>
      </c>
      <c r="Q42" s="2">
        <f t="shared" si="7"/>
        <v>-0.44672920325731891</v>
      </c>
      <c r="R42">
        <f t="shared" si="8"/>
        <v>0.19956698104291895</v>
      </c>
    </row>
    <row r="43" spans="1:18" x14ac:dyDescent="0.2">
      <c r="A43">
        <f>IF(tips!A43="Male",1,2)</f>
        <v>1</v>
      </c>
      <c r="B43">
        <f>IF(tips!B43="No",1,2)</f>
        <v>1</v>
      </c>
      <c r="C43">
        <f>IF(tips!D43="Dinner",1,2)</f>
        <v>1</v>
      </c>
      <c r="D43">
        <f>IF(tips!C43="Sun",1,IF(tips!C43="Fri",2,IF(tips!C43="Sat",3,IF(tips!C43="Thur",4))))</f>
        <v>1</v>
      </c>
      <c r="E43" s="2">
        <v>2</v>
      </c>
      <c r="F43" s="2">
        <v>17.46</v>
      </c>
      <c r="G43" s="8">
        <v>2.54</v>
      </c>
      <c r="H43" s="2"/>
      <c r="I43" s="3">
        <v>0.75944339705833919</v>
      </c>
      <c r="J43" s="3">
        <f t="shared" si="0"/>
        <v>3.7183538040686311E-2</v>
      </c>
      <c r="K43" s="3">
        <f t="shared" si="1"/>
        <v>-7.3687758526173666E-2</v>
      </c>
      <c r="L43" s="3">
        <f t="shared" si="2"/>
        <v>8.8727762736486165E-2</v>
      </c>
      <c r="M43" s="3">
        <f t="shared" si="3"/>
        <v>-5.3498842810068024E-2</v>
      </c>
      <c r="N43" s="3">
        <f t="shared" si="4"/>
        <v>0.34786623214719364</v>
      </c>
      <c r="O43" s="3">
        <f t="shared" si="5"/>
        <v>1.6477705670192093</v>
      </c>
      <c r="P43" s="8">
        <f t="shared" si="6"/>
        <v>2.7538048956656729</v>
      </c>
      <c r="Q43" s="2">
        <f t="shared" si="7"/>
        <v>-0.21380489566567284</v>
      </c>
      <c r="R43">
        <f t="shared" si="8"/>
        <v>4.5712533410609248E-2</v>
      </c>
    </row>
    <row r="44" spans="1:18" x14ac:dyDescent="0.2">
      <c r="A44">
        <f>IF(tips!A44="Male",1,2)</f>
        <v>1</v>
      </c>
      <c r="B44">
        <f>IF(tips!B44="No",1,2)</f>
        <v>1</v>
      </c>
      <c r="C44">
        <f>IF(tips!D44="Dinner",1,2)</f>
        <v>1</v>
      </c>
      <c r="D44">
        <f>IF(tips!C44="Sun",1,IF(tips!C44="Fri",2,IF(tips!C44="Sat",3,IF(tips!C44="Thur",4))))</f>
        <v>1</v>
      </c>
      <c r="E44" s="2">
        <v>2</v>
      </c>
      <c r="F44" s="2">
        <v>13.94</v>
      </c>
      <c r="G44" s="8">
        <v>3.06</v>
      </c>
      <c r="H44" s="2"/>
      <c r="I44" s="3">
        <v>0.75944339705833919</v>
      </c>
      <c r="J44" s="3">
        <f t="shared" si="0"/>
        <v>3.7183538040686311E-2</v>
      </c>
      <c r="K44" s="3">
        <f t="shared" si="1"/>
        <v>-7.3687758526173666E-2</v>
      </c>
      <c r="L44" s="3">
        <f t="shared" si="2"/>
        <v>8.8727762736486165E-2</v>
      </c>
      <c r="M44" s="3">
        <f t="shared" si="3"/>
        <v>-5.3498842810068024E-2</v>
      </c>
      <c r="N44" s="3">
        <f t="shared" si="4"/>
        <v>0.34786623214719364</v>
      </c>
      <c r="O44" s="3">
        <f t="shared" si="5"/>
        <v>1.3155739807702049</v>
      </c>
      <c r="P44" s="8">
        <f t="shared" si="6"/>
        <v>2.4216083094166683</v>
      </c>
      <c r="Q44" s="2">
        <f t="shared" si="7"/>
        <v>0.63839169058333178</v>
      </c>
      <c r="R44">
        <f t="shared" si="8"/>
        <v>0.40754395060584442</v>
      </c>
    </row>
    <row r="45" spans="1:18" x14ac:dyDescent="0.2">
      <c r="A45">
        <f>IF(tips!A45="Male",1,2)</f>
        <v>1</v>
      </c>
      <c r="B45">
        <f>IF(tips!B45="No",1,2)</f>
        <v>1</v>
      </c>
      <c r="C45">
        <f>IF(tips!D45="Dinner",1,2)</f>
        <v>1</v>
      </c>
      <c r="D45">
        <f>IF(tips!C45="Sun",1,IF(tips!C45="Fri",2,IF(tips!C45="Sat",3,IF(tips!C45="Thur",4))))</f>
        <v>1</v>
      </c>
      <c r="E45" s="2">
        <v>2</v>
      </c>
      <c r="F45" s="2">
        <v>9.68</v>
      </c>
      <c r="G45" s="8">
        <v>1.32</v>
      </c>
      <c r="H45" s="2"/>
      <c r="I45" s="3">
        <v>0.75944339705833919</v>
      </c>
      <c r="J45" s="3">
        <f t="shared" si="0"/>
        <v>3.7183538040686311E-2</v>
      </c>
      <c r="K45" s="3">
        <f t="shared" si="1"/>
        <v>-7.3687758526173666E-2</v>
      </c>
      <c r="L45" s="3">
        <f t="shared" si="2"/>
        <v>8.8727762736486165E-2</v>
      </c>
      <c r="M45" s="3">
        <f t="shared" si="3"/>
        <v>-5.3498842810068024E-2</v>
      </c>
      <c r="N45" s="3">
        <f t="shared" si="4"/>
        <v>0.34786623214719364</v>
      </c>
      <c r="O45" s="3">
        <f t="shared" si="5"/>
        <v>0.91354061218476201</v>
      </c>
      <c r="P45" s="8">
        <f t="shared" si="6"/>
        <v>2.0195749408312258</v>
      </c>
      <c r="Q45" s="2">
        <f t="shared" si="7"/>
        <v>-0.69957494083122573</v>
      </c>
      <c r="R45">
        <f t="shared" si="8"/>
        <v>0.48940509783901298</v>
      </c>
    </row>
    <row r="46" spans="1:18" x14ac:dyDescent="0.2">
      <c r="A46">
        <f>IF(tips!A46="Male",1,2)</f>
        <v>1</v>
      </c>
      <c r="B46">
        <f>IF(tips!B46="No",1,2)</f>
        <v>1</v>
      </c>
      <c r="C46">
        <f>IF(tips!D46="Dinner",1,2)</f>
        <v>1</v>
      </c>
      <c r="D46">
        <f>IF(tips!C46="Sun",1,IF(tips!C46="Fri",2,IF(tips!C46="Sat",3,IF(tips!C46="Thur",4))))</f>
        <v>1</v>
      </c>
      <c r="E46" s="2">
        <v>4</v>
      </c>
      <c r="F46" s="2">
        <v>30.4</v>
      </c>
      <c r="G46" s="8">
        <v>5.6</v>
      </c>
      <c r="H46" s="2"/>
      <c r="I46" s="3">
        <v>0.75944339705833919</v>
      </c>
      <c r="J46" s="3">
        <f t="shared" si="0"/>
        <v>3.7183538040686311E-2</v>
      </c>
      <c r="K46" s="3">
        <f t="shared" si="1"/>
        <v>-7.3687758526173666E-2</v>
      </c>
      <c r="L46" s="3">
        <f t="shared" si="2"/>
        <v>8.8727762736486165E-2</v>
      </c>
      <c r="M46" s="3">
        <f t="shared" si="3"/>
        <v>-5.3498842810068024E-2</v>
      </c>
      <c r="N46" s="3">
        <f t="shared" si="4"/>
        <v>0.69573246429438729</v>
      </c>
      <c r="O46" s="3">
        <f t="shared" si="5"/>
        <v>2.868970517605038</v>
      </c>
      <c r="P46" s="8">
        <f t="shared" si="6"/>
        <v>4.3228710783986948</v>
      </c>
      <c r="Q46" s="2">
        <f t="shared" si="7"/>
        <v>1.2771289216013049</v>
      </c>
      <c r="R46">
        <f t="shared" si="8"/>
        <v>1.631058282390512</v>
      </c>
    </row>
    <row r="47" spans="1:18" x14ac:dyDescent="0.2">
      <c r="A47">
        <f>IF(tips!A47="Male",1,2)</f>
        <v>1</v>
      </c>
      <c r="B47">
        <f>IF(tips!B47="No",1,2)</f>
        <v>1</v>
      </c>
      <c r="C47">
        <f>IF(tips!D47="Dinner",1,2)</f>
        <v>1</v>
      </c>
      <c r="D47">
        <f>IF(tips!C47="Sun",1,IF(tips!C47="Fri",2,IF(tips!C47="Sat",3,IF(tips!C47="Thur",4))))</f>
        <v>1</v>
      </c>
      <c r="E47" s="2">
        <v>2</v>
      </c>
      <c r="F47" s="2">
        <v>18.29</v>
      </c>
      <c r="G47" s="8">
        <v>3</v>
      </c>
      <c r="H47" s="2"/>
      <c r="I47" s="3">
        <v>0.75944339705833919</v>
      </c>
      <c r="J47" s="3">
        <f t="shared" si="0"/>
        <v>3.7183538040686311E-2</v>
      </c>
      <c r="K47" s="3">
        <f t="shared" si="1"/>
        <v>-7.3687758526173666E-2</v>
      </c>
      <c r="L47" s="3">
        <f t="shared" si="2"/>
        <v>8.8727762736486165E-2</v>
      </c>
      <c r="M47" s="3">
        <f t="shared" si="3"/>
        <v>-5.3498842810068024E-2</v>
      </c>
      <c r="N47" s="3">
        <f t="shared" si="4"/>
        <v>0.34786623214719364</v>
      </c>
      <c r="O47" s="3">
        <f t="shared" si="5"/>
        <v>1.7261010120722415</v>
      </c>
      <c r="P47" s="8">
        <f t="shared" si="6"/>
        <v>2.8321353407187049</v>
      </c>
      <c r="Q47" s="2">
        <f t="shared" si="7"/>
        <v>0.16786465928129513</v>
      </c>
      <c r="R47">
        <f t="shared" si="8"/>
        <v>2.8178543835625302E-2</v>
      </c>
    </row>
    <row r="48" spans="1:18" x14ac:dyDescent="0.2">
      <c r="A48">
        <f>IF(tips!A48="Male",1,2)</f>
        <v>1</v>
      </c>
      <c r="B48">
        <f>IF(tips!B48="No",1,2)</f>
        <v>1</v>
      </c>
      <c r="C48">
        <f>IF(tips!D48="Dinner",1,2)</f>
        <v>1</v>
      </c>
      <c r="D48">
        <f>IF(tips!C48="Sun",1,IF(tips!C48="Fri",2,IF(tips!C48="Sat",3,IF(tips!C48="Thur",4))))</f>
        <v>1</v>
      </c>
      <c r="E48" s="2">
        <v>2</v>
      </c>
      <c r="F48" s="2">
        <v>22.23</v>
      </c>
      <c r="G48" s="8">
        <v>5</v>
      </c>
      <c r="H48" s="2"/>
      <c r="I48" s="3">
        <v>0.75944339705833919</v>
      </c>
      <c r="J48" s="3">
        <f t="shared" si="0"/>
        <v>3.7183538040686311E-2</v>
      </c>
      <c r="K48" s="3">
        <f t="shared" si="1"/>
        <v>-7.3687758526173666E-2</v>
      </c>
      <c r="L48" s="3">
        <f t="shared" si="2"/>
        <v>8.8727762736486165E-2</v>
      </c>
      <c r="M48" s="3">
        <f t="shared" si="3"/>
        <v>-5.3498842810068024E-2</v>
      </c>
      <c r="N48" s="3">
        <f t="shared" si="4"/>
        <v>0.34786623214719364</v>
      </c>
      <c r="O48" s="3">
        <f t="shared" si="5"/>
        <v>2.097934690998684</v>
      </c>
      <c r="P48" s="8">
        <f t="shared" si="6"/>
        <v>3.2039690196451476</v>
      </c>
      <c r="Q48" s="2">
        <f t="shared" si="7"/>
        <v>1.7960309803548524</v>
      </c>
      <c r="R48">
        <f t="shared" si="8"/>
        <v>3.2257272823944123</v>
      </c>
    </row>
    <row r="49" spans="1:18" x14ac:dyDescent="0.2">
      <c r="A49">
        <f>IF(tips!A49="Male",1,2)</f>
        <v>1</v>
      </c>
      <c r="B49">
        <f>IF(tips!B49="No",1,2)</f>
        <v>1</v>
      </c>
      <c r="C49">
        <f>IF(tips!D49="Dinner",1,2)</f>
        <v>1</v>
      </c>
      <c r="D49">
        <f>IF(tips!C49="Sun",1,IF(tips!C49="Fri",2,IF(tips!C49="Sat",3,IF(tips!C49="Thur",4))))</f>
        <v>1</v>
      </c>
      <c r="E49" s="2">
        <v>4</v>
      </c>
      <c r="F49" s="2">
        <v>32.4</v>
      </c>
      <c r="G49" s="8">
        <v>6</v>
      </c>
      <c r="H49" s="2"/>
      <c r="I49" s="3">
        <v>0.75944339705833919</v>
      </c>
      <c r="J49" s="3">
        <f t="shared" si="0"/>
        <v>3.7183538040686311E-2</v>
      </c>
      <c r="K49" s="3">
        <f t="shared" si="1"/>
        <v>-7.3687758526173666E-2</v>
      </c>
      <c r="L49" s="3">
        <f t="shared" si="2"/>
        <v>8.8727762736486165E-2</v>
      </c>
      <c r="M49" s="3">
        <f t="shared" si="3"/>
        <v>-5.3498842810068024E-2</v>
      </c>
      <c r="N49" s="3">
        <f t="shared" si="4"/>
        <v>0.69573246429438729</v>
      </c>
      <c r="O49" s="3">
        <f t="shared" si="5"/>
        <v>3.0577185779737901</v>
      </c>
      <c r="P49" s="8">
        <f t="shared" si="6"/>
        <v>4.5116191387674469</v>
      </c>
      <c r="Q49" s="2">
        <f t="shared" si="7"/>
        <v>1.4883808612325531</v>
      </c>
      <c r="R49">
        <f t="shared" si="8"/>
        <v>2.2152775880833566</v>
      </c>
    </row>
    <row r="50" spans="1:18" x14ac:dyDescent="0.2">
      <c r="A50">
        <f>IF(tips!A50="Male",1,2)</f>
        <v>1</v>
      </c>
      <c r="B50">
        <f>IF(tips!B50="No",1,2)</f>
        <v>1</v>
      </c>
      <c r="C50">
        <f>IF(tips!D50="Dinner",1,2)</f>
        <v>1</v>
      </c>
      <c r="D50">
        <f>IF(tips!C50="Sun",1,IF(tips!C50="Fri",2,IF(tips!C50="Sat",3,IF(tips!C50="Thur",4))))</f>
        <v>1</v>
      </c>
      <c r="E50" s="2">
        <v>3</v>
      </c>
      <c r="F50" s="2">
        <v>28.55</v>
      </c>
      <c r="G50" s="8">
        <v>2.0499999999999998</v>
      </c>
      <c r="H50" s="2"/>
      <c r="I50" s="3">
        <v>0.75944339705833919</v>
      </c>
      <c r="J50" s="3">
        <f t="shared" si="0"/>
        <v>3.7183538040686311E-2</v>
      </c>
      <c r="K50" s="3">
        <f t="shared" si="1"/>
        <v>-7.3687758526173666E-2</v>
      </c>
      <c r="L50" s="3">
        <f t="shared" si="2"/>
        <v>8.8727762736486165E-2</v>
      </c>
      <c r="M50" s="3">
        <f t="shared" si="3"/>
        <v>-5.3498842810068024E-2</v>
      </c>
      <c r="N50" s="3">
        <f t="shared" si="4"/>
        <v>0.52179934822079044</v>
      </c>
      <c r="O50" s="3">
        <f t="shared" si="5"/>
        <v>2.694378561763942</v>
      </c>
      <c r="P50" s="8">
        <f t="shared" si="6"/>
        <v>3.9743460064840024</v>
      </c>
      <c r="Q50" s="2">
        <f t="shared" si="7"/>
        <v>-1.9243460064840026</v>
      </c>
      <c r="R50">
        <f t="shared" si="8"/>
        <v>3.7031075526709287</v>
      </c>
    </row>
    <row r="51" spans="1:18" x14ac:dyDescent="0.2">
      <c r="A51">
        <f>IF(tips!A51="Male",1,2)</f>
        <v>1</v>
      </c>
      <c r="B51">
        <f>IF(tips!B51="No",1,2)</f>
        <v>1</v>
      </c>
      <c r="C51">
        <f>IF(tips!D51="Dinner",1,2)</f>
        <v>1</v>
      </c>
      <c r="D51">
        <f>IF(tips!C51="Sun",1,IF(tips!C51="Fri",2,IF(tips!C51="Sat",3,IF(tips!C51="Thur",4))))</f>
        <v>1</v>
      </c>
      <c r="E51" s="2">
        <v>2</v>
      </c>
      <c r="F51" s="2">
        <v>18.04</v>
      </c>
      <c r="G51" s="8">
        <v>3</v>
      </c>
      <c r="H51" s="2"/>
      <c r="I51" s="3">
        <v>0.75944339705833919</v>
      </c>
      <c r="J51" s="3">
        <f t="shared" si="0"/>
        <v>3.7183538040686311E-2</v>
      </c>
      <c r="K51" s="3">
        <f t="shared" si="1"/>
        <v>-7.3687758526173666E-2</v>
      </c>
      <c r="L51" s="3">
        <f t="shared" si="2"/>
        <v>8.8727762736486165E-2</v>
      </c>
      <c r="M51" s="3">
        <f t="shared" si="3"/>
        <v>-5.3498842810068024E-2</v>
      </c>
      <c r="N51" s="3">
        <f t="shared" si="4"/>
        <v>0.34786623214719364</v>
      </c>
      <c r="O51" s="3">
        <f t="shared" si="5"/>
        <v>1.7025075045261475</v>
      </c>
      <c r="P51" s="8">
        <f t="shared" si="6"/>
        <v>2.8085418331726109</v>
      </c>
      <c r="Q51" s="2">
        <f t="shared" si="7"/>
        <v>0.19145816682738914</v>
      </c>
      <c r="R51">
        <f t="shared" si="8"/>
        <v>3.6656229644904371E-2</v>
      </c>
    </row>
    <row r="52" spans="1:18" x14ac:dyDescent="0.2">
      <c r="A52">
        <f>IF(tips!A52="Male",1,2)</f>
        <v>1</v>
      </c>
      <c r="B52">
        <f>IF(tips!B52="No",1,2)</f>
        <v>1</v>
      </c>
      <c r="C52">
        <f>IF(tips!D52="Dinner",1,2)</f>
        <v>1</v>
      </c>
      <c r="D52">
        <f>IF(tips!C52="Sun",1,IF(tips!C52="Fri",2,IF(tips!C52="Sat",3,IF(tips!C52="Thur",4))))</f>
        <v>1</v>
      </c>
      <c r="E52" s="2">
        <v>2</v>
      </c>
      <c r="F52" s="2">
        <v>12.54</v>
      </c>
      <c r="G52" s="8">
        <v>2.5</v>
      </c>
      <c r="H52" s="2"/>
      <c r="I52" s="3">
        <v>0.75944339705833919</v>
      </c>
      <c r="J52" s="3">
        <f t="shared" si="0"/>
        <v>3.7183538040686311E-2</v>
      </c>
      <c r="K52" s="3">
        <f t="shared" si="1"/>
        <v>-7.3687758526173666E-2</v>
      </c>
      <c r="L52" s="3">
        <f t="shared" si="2"/>
        <v>8.8727762736486165E-2</v>
      </c>
      <c r="M52" s="3">
        <f t="shared" si="3"/>
        <v>-5.3498842810068024E-2</v>
      </c>
      <c r="N52" s="3">
        <f t="shared" si="4"/>
        <v>0.34786623214719364</v>
      </c>
      <c r="O52" s="3">
        <f t="shared" si="5"/>
        <v>1.183450338512078</v>
      </c>
      <c r="P52" s="8">
        <f t="shared" si="6"/>
        <v>2.2894846671585416</v>
      </c>
      <c r="Q52" s="2">
        <f t="shared" si="7"/>
        <v>0.2105153328414584</v>
      </c>
      <c r="R52">
        <f t="shared" si="8"/>
        <v>4.4316705361350017E-2</v>
      </c>
    </row>
    <row r="53" spans="1:18" x14ac:dyDescent="0.2">
      <c r="A53">
        <f>IF(tips!A53="Male",1,2)</f>
        <v>2</v>
      </c>
      <c r="B53">
        <f>IF(tips!B53="No",1,2)</f>
        <v>1</v>
      </c>
      <c r="C53">
        <f>IF(tips!D53="Dinner",1,2)</f>
        <v>1</v>
      </c>
      <c r="D53">
        <f>IF(tips!C53="Sun",1,IF(tips!C53="Fri",2,IF(tips!C53="Sat",3,IF(tips!C53="Thur",4))))</f>
        <v>1</v>
      </c>
      <c r="E53" s="2">
        <v>2</v>
      </c>
      <c r="F53" s="2">
        <v>10.29</v>
      </c>
      <c r="G53" s="8">
        <v>2.6</v>
      </c>
      <c r="H53" s="2"/>
      <c r="I53" s="3">
        <v>0.75944339705833919</v>
      </c>
      <c r="J53" s="3">
        <f t="shared" si="0"/>
        <v>7.4367076081372621E-2</v>
      </c>
      <c r="K53" s="3">
        <f t="shared" si="1"/>
        <v>-7.3687758526173666E-2</v>
      </c>
      <c r="L53" s="3">
        <f t="shared" si="2"/>
        <v>8.8727762736486165E-2</v>
      </c>
      <c r="M53" s="3">
        <f t="shared" si="3"/>
        <v>-5.3498842810068024E-2</v>
      </c>
      <c r="N53" s="3">
        <f t="shared" si="4"/>
        <v>0.34786623214719364</v>
      </c>
      <c r="O53" s="3">
        <f t="shared" si="5"/>
        <v>0.97110877059723155</v>
      </c>
      <c r="P53" s="8">
        <f t="shared" si="6"/>
        <v>2.1143266372843814</v>
      </c>
      <c r="Q53" s="2">
        <f t="shared" si="7"/>
        <v>0.48567336271561867</v>
      </c>
      <c r="R53">
        <f t="shared" si="8"/>
        <v>0.23587861525149689</v>
      </c>
    </row>
    <row r="54" spans="1:18" x14ac:dyDescent="0.2">
      <c r="A54">
        <f>IF(tips!A54="Male",1,2)</f>
        <v>2</v>
      </c>
      <c r="B54">
        <f>IF(tips!B54="No",1,2)</f>
        <v>1</v>
      </c>
      <c r="C54">
        <f>IF(tips!D54="Dinner",1,2)</f>
        <v>1</v>
      </c>
      <c r="D54">
        <f>IF(tips!C54="Sun",1,IF(tips!C54="Fri",2,IF(tips!C54="Sat",3,IF(tips!C54="Thur",4))))</f>
        <v>1</v>
      </c>
      <c r="E54" s="2">
        <v>4</v>
      </c>
      <c r="F54" s="2">
        <v>34.81</v>
      </c>
      <c r="G54" s="8">
        <v>5.2</v>
      </c>
      <c r="H54" s="2"/>
      <c r="I54" s="3">
        <v>0.75944339705833919</v>
      </c>
      <c r="J54" s="3">
        <f t="shared" si="0"/>
        <v>7.4367076081372621E-2</v>
      </c>
      <c r="K54" s="3">
        <f t="shared" si="1"/>
        <v>-7.3687758526173666E-2</v>
      </c>
      <c r="L54" s="3">
        <f t="shared" si="2"/>
        <v>8.8727762736486165E-2</v>
      </c>
      <c r="M54" s="3">
        <f t="shared" si="3"/>
        <v>-5.3498842810068024E-2</v>
      </c>
      <c r="N54" s="3">
        <f t="shared" si="4"/>
        <v>0.69573246429438729</v>
      </c>
      <c r="O54" s="3">
        <f t="shared" si="5"/>
        <v>3.2851599907181375</v>
      </c>
      <c r="P54" s="8">
        <f t="shared" si="6"/>
        <v>4.7762440895524811</v>
      </c>
      <c r="Q54" s="2">
        <f t="shared" si="7"/>
        <v>0.42375591044751904</v>
      </c>
      <c r="R54">
        <f t="shared" si="8"/>
        <v>0.17956907163920577</v>
      </c>
    </row>
    <row r="55" spans="1:18" x14ac:dyDescent="0.2">
      <c r="A55">
        <f>IF(tips!A55="Male",1,2)</f>
        <v>1</v>
      </c>
      <c r="B55">
        <f>IF(tips!B55="No",1,2)</f>
        <v>1</v>
      </c>
      <c r="C55">
        <f>IF(tips!D55="Dinner",1,2)</f>
        <v>1</v>
      </c>
      <c r="D55">
        <f>IF(tips!C55="Sun",1,IF(tips!C55="Fri",2,IF(tips!C55="Sat",3,IF(tips!C55="Thur",4))))</f>
        <v>1</v>
      </c>
      <c r="E55" s="2">
        <v>2</v>
      </c>
      <c r="F55" s="2">
        <v>9.94</v>
      </c>
      <c r="G55" s="8">
        <v>1.56</v>
      </c>
      <c r="H55" s="2"/>
      <c r="I55" s="3">
        <v>0.75944339705833919</v>
      </c>
      <c r="J55" s="3">
        <f t="shared" si="0"/>
        <v>3.7183538040686311E-2</v>
      </c>
      <c r="K55" s="3">
        <f t="shared" si="1"/>
        <v>-7.3687758526173666E-2</v>
      </c>
      <c r="L55" s="3">
        <f t="shared" si="2"/>
        <v>8.8727762736486165E-2</v>
      </c>
      <c r="M55" s="3">
        <f t="shared" si="3"/>
        <v>-5.3498842810068024E-2</v>
      </c>
      <c r="N55" s="3">
        <f t="shared" si="4"/>
        <v>0.34786623214719364</v>
      </c>
      <c r="O55" s="3">
        <f t="shared" si="5"/>
        <v>0.93807786003269988</v>
      </c>
      <c r="P55" s="8">
        <f t="shared" si="6"/>
        <v>2.0441121886791636</v>
      </c>
      <c r="Q55" s="2">
        <f t="shared" si="7"/>
        <v>-0.4841121886791635</v>
      </c>
      <c r="R55">
        <f t="shared" si="8"/>
        <v>0.23436461122773</v>
      </c>
    </row>
    <row r="56" spans="1:18" x14ac:dyDescent="0.2">
      <c r="A56">
        <f>IF(tips!A56="Male",1,2)</f>
        <v>1</v>
      </c>
      <c r="B56">
        <f>IF(tips!B56="No",1,2)</f>
        <v>1</v>
      </c>
      <c r="C56">
        <f>IF(tips!D56="Dinner",1,2)</f>
        <v>1</v>
      </c>
      <c r="D56">
        <f>IF(tips!C56="Sun",1,IF(tips!C56="Fri",2,IF(tips!C56="Sat",3,IF(tips!C56="Thur",4))))</f>
        <v>1</v>
      </c>
      <c r="E56" s="2">
        <v>4</v>
      </c>
      <c r="F56" s="2">
        <v>25.56</v>
      </c>
      <c r="G56" s="8">
        <v>4.34</v>
      </c>
      <c r="H56" s="2"/>
      <c r="I56" s="3">
        <v>0.75944339705833919</v>
      </c>
      <c r="J56" s="3">
        <f t="shared" si="0"/>
        <v>3.7183538040686311E-2</v>
      </c>
      <c r="K56" s="3">
        <f t="shared" si="1"/>
        <v>-7.3687758526173666E-2</v>
      </c>
      <c r="L56" s="3">
        <f t="shared" si="2"/>
        <v>8.8727762736486165E-2</v>
      </c>
      <c r="M56" s="3">
        <f t="shared" si="3"/>
        <v>-5.3498842810068024E-2</v>
      </c>
      <c r="N56" s="3">
        <f t="shared" si="4"/>
        <v>0.69573246429438729</v>
      </c>
      <c r="O56" s="3">
        <f t="shared" si="5"/>
        <v>2.4122002115126566</v>
      </c>
      <c r="P56" s="8">
        <f t="shared" si="6"/>
        <v>3.8661007723063139</v>
      </c>
      <c r="Q56" s="2">
        <f t="shared" si="7"/>
        <v>0.47389922769368598</v>
      </c>
      <c r="R56">
        <f t="shared" si="8"/>
        <v>0.22458047800867204</v>
      </c>
    </row>
    <row r="57" spans="1:18" x14ac:dyDescent="0.2">
      <c r="A57">
        <f>IF(tips!A57="Male",1,2)</f>
        <v>1</v>
      </c>
      <c r="B57">
        <f>IF(tips!B57="No",1,2)</f>
        <v>1</v>
      </c>
      <c r="C57">
        <f>IF(tips!D57="Dinner",1,2)</f>
        <v>1</v>
      </c>
      <c r="D57">
        <f>IF(tips!C57="Sun",1,IF(tips!C57="Fri",2,IF(tips!C57="Sat",3,IF(tips!C57="Thur",4))))</f>
        <v>1</v>
      </c>
      <c r="E57" s="2">
        <v>2</v>
      </c>
      <c r="F57" s="2">
        <v>19.489999999999998</v>
      </c>
      <c r="G57" s="8">
        <v>3.51</v>
      </c>
      <c r="H57" s="2"/>
      <c r="I57" s="3">
        <v>0.75944339705833919</v>
      </c>
      <c r="J57" s="3">
        <f t="shared" si="0"/>
        <v>3.7183538040686311E-2</v>
      </c>
      <c r="K57" s="3">
        <f t="shared" si="1"/>
        <v>-7.3687758526173666E-2</v>
      </c>
      <c r="L57" s="3">
        <f t="shared" si="2"/>
        <v>8.8727762736486165E-2</v>
      </c>
      <c r="M57" s="3">
        <f t="shared" si="3"/>
        <v>-5.3498842810068024E-2</v>
      </c>
      <c r="N57" s="3">
        <f t="shared" si="4"/>
        <v>0.34786623214719364</v>
      </c>
      <c r="O57" s="3">
        <f t="shared" si="5"/>
        <v>1.8393498482934929</v>
      </c>
      <c r="P57" s="8">
        <f t="shared" si="6"/>
        <v>2.9453841769399567</v>
      </c>
      <c r="Q57" s="2">
        <f t="shared" si="7"/>
        <v>0.5646158230600431</v>
      </c>
      <c r="R57">
        <f t="shared" si="8"/>
        <v>0.31879102764976991</v>
      </c>
    </row>
    <row r="58" spans="1:18" x14ac:dyDescent="0.2">
      <c r="A58">
        <f>IF(tips!A58="Male",1,2)</f>
        <v>1</v>
      </c>
      <c r="B58">
        <f>IF(tips!B58="No",1,2)</f>
        <v>2</v>
      </c>
      <c r="C58">
        <f>IF(tips!D58="Dinner",1,2)</f>
        <v>1</v>
      </c>
      <c r="D58">
        <f>IF(tips!C58="Sun",1,IF(tips!C58="Fri",2,IF(tips!C58="Sat",3,IF(tips!C58="Thur",4))))</f>
        <v>3</v>
      </c>
      <c r="E58" s="2">
        <v>4</v>
      </c>
      <c r="F58" s="2">
        <v>38.01</v>
      </c>
      <c r="G58" s="8">
        <v>3</v>
      </c>
      <c r="H58" s="2"/>
      <c r="I58" s="3">
        <v>0.75944339705833919</v>
      </c>
      <c r="J58" s="3">
        <f t="shared" si="0"/>
        <v>3.7183538040686311E-2</v>
      </c>
      <c r="K58" s="3">
        <f t="shared" si="1"/>
        <v>-0.14737551705234733</v>
      </c>
      <c r="L58" s="3">
        <f t="shared" si="2"/>
        <v>8.8727762736486165E-2</v>
      </c>
      <c r="M58" s="3">
        <f t="shared" si="3"/>
        <v>-0.16049652843020407</v>
      </c>
      <c r="N58" s="3">
        <f t="shared" si="4"/>
        <v>0.69573246429438729</v>
      </c>
      <c r="O58" s="3">
        <f t="shared" si="5"/>
        <v>3.587156887308141</v>
      </c>
      <c r="P58" s="8">
        <f t="shared" si="6"/>
        <v>4.8603720039554883</v>
      </c>
      <c r="Q58" s="2">
        <f t="shared" si="7"/>
        <v>-1.8603720039554883</v>
      </c>
      <c r="R58">
        <f t="shared" si="8"/>
        <v>3.4609839931013595</v>
      </c>
    </row>
    <row r="59" spans="1:18" x14ac:dyDescent="0.2">
      <c r="A59">
        <f>IF(tips!A59="Male",1,2)</f>
        <v>2</v>
      </c>
      <c r="B59">
        <f>IF(tips!B59="No",1,2)</f>
        <v>1</v>
      </c>
      <c r="C59">
        <f>IF(tips!D59="Dinner",1,2)</f>
        <v>1</v>
      </c>
      <c r="D59">
        <f>IF(tips!C59="Sun",1,IF(tips!C59="Fri",2,IF(tips!C59="Sat",3,IF(tips!C59="Thur",4))))</f>
        <v>3</v>
      </c>
      <c r="E59" s="2">
        <v>2</v>
      </c>
      <c r="F59" s="2">
        <v>26.41</v>
      </c>
      <c r="G59" s="8">
        <v>1.5</v>
      </c>
      <c r="H59" s="2"/>
      <c r="I59" s="3">
        <v>0.75944339705833919</v>
      </c>
      <c r="J59" s="3">
        <f t="shared" si="0"/>
        <v>7.4367076081372621E-2</v>
      </c>
      <c r="K59" s="3">
        <f t="shared" si="1"/>
        <v>-7.3687758526173666E-2</v>
      </c>
      <c r="L59" s="3">
        <f t="shared" si="2"/>
        <v>8.8727762736486165E-2</v>
      </c>
      <c r="M59" s="3">
        <f t="shared" si="3"/>
        <v>-0.16049652843020407</v>
      </c>
      <c r="N59" s="3">
        <f t="shared" si="4"/>
        <v>0.34786623214719364</v>
      </c>
      <c r="O59" s="3">
        <f t="shared" si="5"/>
        <v>2.4924181371693765</v>
      </c>
      <c r="P59" s="8">
        <f t="shared" si="6"/>
        <v>3.5286383182363905</v>
      </c>
      <c r="Q59" s="2">
        <f t="shared" si="7"/>
        <v>-2.0286383182363905</v>
      </c>
      <c r="R59">
        <f t="shared" si="8"/>
        <v>4.115373426216971</v>
      </c>
    </row>
    <row r="60" spans="1:18" x14ac:dyDescent="0.2">
      <c r="A60">
        <f>IF(tips!A60="Male",1,2)</f>
        <v>1</v>
      </c>
      <c r="B60">
        <f>IF(tips!B60="No",1,2)</f>
        <v>2</v>
      </c>
      <c r="C60">
        <f>IF(tips!D60="Dinner",1,2)</f>
        <v>1</v>
      </c>
      <c r="D60">
        <f>IF(tips!C60="Sun",1,IF(tips!C60="Fri",2,IF(tips!C60="Sat",3,IF(tips!C60="Thur",4))))</f>
        <v>3</v>
      </c>
      <c r="E60" s="2">
        <v>2</v>
      </c>
      <c r="F60" s="2">
        <v>11.24</v>
      </c>
      <c r="G60" s="8">
        <v>1.76</v>
      </c>
      <c r="H60" s="2"/>
      <c r="I60" s="3">
        <v>0.75944339705833919</v>
      </c>
      <c r="J60" s="3">
        <f t="shared" si="0"/>
        <v>3.7183538040686311E-2</v>
      </c>
      <c r="K60" s="3">
        <f t="shared" si="1"/>
        <v>-0.14737551705234733</v>
      </c>
      <c r="L60" s="3">
        <f t="shared" si="2"/>
        <v>8.8727762736486165E-2</v>
      </c>
      <c r="M60" s="3">
        <f t="shared" si="3"/>
        <v>-0.16049652843020407</v>
      </c>
      <c r="N60" s="3">
        <f t="shared" si="4"/>
        <v>0.34786623214719364</v>
      </c>
      <c r="O60" s="3">
        <f t="shared" si="5"/>
        <v>1.060764099272389</v>
      </c>
      <c r="P60" s="8">
        <f t="shared" si="6"/>
        <v>1.9861129837725431</v>
      </c>
      <c r="Q60" s="2">
        <f t="shared" si="7"/>
        <v>-0.22611298377254307</v>
      </c>
      <c r="R60">
        <f t="shared" si="8"/>
        <v>5.1127081430522331E-2</v>
      </c>
    </row>
    <row r="61" spans="1:18" x14ac:dyDescent="0.2">
      <c r="A61">
        <f>IF(tips!A61="Male",1,2)</f>
        <v>1</v>
      </c>
      <c r="B61">
        <f>IF(tips!B61="No",1,2)</f>
        <v>1</v>
      </c>
      <c r="C61">
        <f>IF(tips!D61="Dinner",1,2)</f>
        <v>1</v>
      </c>
      <c r="D61">
        <f>IF(tips!C61="Sun",1,IF(tips!C61="Fri",2,IF(tips!C61="Sat",3,IF(tips!C61="Thur",4))))</f>
        <v>3</v>
      </c>
      <c r="E61" s="2">
        <v>4</v>
      </c>
      <c r="F61" s="2">
        <v>48.27</v>
      </c>
      <c r="G61" s="8">
        <v>6.73</v>
      </c>
      <c r="H61" s="2"/>
      <c r="I61" s="3">
        <v>0.75944339705833919</v>
      </c>
      <c r="J61" s="3">
        <f t="shared" si="0"/>
        <v>3.7183538040686311E-2</v>
      </c>
      <c r="K61" s="3">
        <f t="shared" si="1"/>
        <v>-7.3687758526173666E-2</v>
      </c>
      <c r="L61" s="3">
        <f t="shared" si="2"/>
        <v>8.8727762736486165E-2</v>
      </c>
      <c r="M61" s="3">
        <f t="shared" si="3"/>
        <v>-0.16049652843020407</v>
      </c>
      <c r="N61" s="3">
        <f t="shared" si="4"/>
        <v>0.69573246429438729</v>
      </c>
      <c r="O61" s="3">
        <f t="shared" si="5"/>
        <v>4.5554344369998416</v>
      </c>
      <c r="P61" s="8">
        <f t="shared" si="6"/>
        <v>5.9023373121733629</v>
      </c>
      <c r="Q61" s="2">
        <f t="shared" si="7"/>
        <v>0.82766268782663754</v>
      </c>
      <c r="R61">
        <f t="shared" si="8"/>
        <v>0.68502552482041412</v>
      </c>
    </row>
    <row r="62" spans="1:18" x14ac:dyDescent="0.2">
      <c r="A62">
        <f>IF(tips!A62="Male",1,2)</f>
        <v>1</v>
      </c>
      <c r="B62">
        <f>IF(tips!B62="No",1,2)</f>
        <v>2</v>
      </c>
      <c r="C62">
        <f>IF(tips!D62="Dinner",1,2)</f>
        <v>1</v>
      </c>
      <c r="D62">
        <f>IF(tips!C62="Sun",1,IF(tips!C62="Fri",2,IF(tips!C62="Sat",3,IF(tips!C62="Thur",4))))</f>
        <v>3</v>
      </c>
      <c r="E62" s="2">
        <v>2</v>
      </c>
      <c r="F62" s="2">
        <v>20.29</v>
      </c>
      <c r="G62" s="8">
        <v>3.21</v>
      </c>
      <c r="H62" s="2"/>
      <c r="I62" s="3">
        <v>0.75944339705833919</v>
      </c>
      <c r="J62" s="3">
        <f t="shared" si="0"/>
        <v>3.7183538040686311E-2</v>
      </c>
      <c r="K62" s="3">
        <f t="shared" si="1"/>
        <v>-0.14737551705234733</v>
      </c>
      <c r="L62" s="3">
        <f t="shared" si="2"/>
        <v>8.8727762736486165E-2</v>
      </c>
      <c r="M62" s="3">
        <f t="shared" si="3"/>
        <v>-0.16049652843020407</v>
      </c>
      <c r="N62" s="3">
        <f t="shared" si="4"/>
        <v>0.34786623214719364</v>
      </c>
      <c r="O62" s="3">
        <f t="shared" si="5"/>
        <v>1.9148490724409939</v>
      </c>
      <c r="P62" s="8">
        <f t="shared" si="6"/>
        <v>2.840197956941148</v>
      </c>
      <c r="Q62" s="2">
        <f t="shared" si="7"/>
        <v>0.369802043058852</v>
      </c>
      <c r="R62">
        <f t="shared" si="8"/>
        <v>0.13675355105050102</v>
      </c>
    </row>
    <row r="63" spans="1:18" x14ac:dyDescent="0.2">
      <c r="A63">
        <f>IF(tips!A63="Male",1,2)</f>
        <v>1</v>
      </c>
      <c r="B63">
        <f>IF(tips!B63="No",1,2)</f>
        <v>2</v>
      </c>
      <c r="C63">
        <f>IF(tips!D63="Dinner",1,2)</f>
        <v>1</v>
      </c>
      <c r="D63">
        <f>IF(tips!C63="Sun",1,IF(tips!C63="Fri",2,IF(tips!C63="Sat",3,IF(tips!C63="Thur",4))))</f>
        <v>3</v>
      </c>
      <c r="E63" s="2">
        <v>2</v>
      </c>
      <c r="F63" s="2">
        <v>13.81</v>
      </c>
      <c r="G63" s="8">
        <v>2</v>
      </c>
      <c r="H63" s="2"/>
      <c r="I63" s="3">
        <v>0.75944339705833919</v>
      </c>
      <c r="J63" s="3">
        <f t="shared" si="0"/>
        <v>3.7183538040686311E-2</v>
      </c>
      <c r="K63" s="3">
        <f t="shared" si="1"/>
        <v>-0.14737551705234733</v>
      </c>
      <c r="L63" s="3">
        <f t="shared" si="2"/>
        <v>8.8727762736486165E-2</v>
      </c>
      <c r="M63" s="3">
        <f t="shared" si="3"/>
        <v>-0.16049652843020407</v>
      </c>
      <c r="N63" s="3">
        <f t="shared" si="4"/>
        <v>0.34786623214719364</v>
      </c>
      <c r="O63" s="3">
        <f t="shared" si="5"/>
        <v>1.3033053568462361</v>
      </c>
      <c r="P63" s="8">
        <f t="shared" si="6"/>
        <v>2.2286542413463901</v>
      </c>
      <c r="Q63" s="2">
        <f t="shared" si="7"/>
        <v>-0.22865424134639012</v>
      </c>
      <c r="R63">
        <f t="shared" si="8"/>
        <v>5.228276208569322E-2</v>
      </c>
    </row>
    <row r="64" spans="1:18" x14ac:dyDescent="0.2">
      <c r="A64">
        <f>IF(tips!A64="Male",1,2)</f>
        <v>1</v>
      </c>
      <c r="B64">
        <f>IF(tips!B64="No",1,2)</f>
        <v>2</v>
      </c>
      <c r="C64">
        <f>IF(tips!D64="Dinner",1,2)</f>
        <v>1</v>
      </c>
      <c r="D64">
        <f>IF(tips!C64="Sun",1,IF(tips!C64="Fri",2,IF(tips!C64="Sat",3,IF(tips!C64="Thur",4))))</f>
        <v>3</v>
      </c>
      <c r="E64" s="2">
        <v>2</v>
      </c>
      <c r="F64" s="2">
        <v>11.02</v>
      </c>
      <c r="G64" s="8">
        <v>1.98</v>
      </c>
      <c r="H64" s="2"/>
      <c r="I64" s="3">
        <v>0.75944339705833919</v>
      </c>
      <c r="J64" s="3">
        <f t="shared" si="0"/>
        <v>3.7183538040686311E-2</v>
      </c>
      <c r="K64" s="3">
        <f t="shared" si="1"/>
        <v>-0.14737551705234733</v>
      </c>
      <c r="L64" s="3">
        <f t="shared" si="2"/>
        <v>8.8727762736486165E-2</v>
      </c>
      <c r="M64" s="3">
        <f t="shared" si="3"/>
        <v>-0.16049652843020407</v>
      </c>
      <c r="N64" s="3">
        <f t="shared" si="4"/>
        <v>0.34786623214719364</v>
      </c>
      <c r="O64" s="3">
        <f t="shared" si="5"/>
        <v>1.0400018126318262</v>
      </c>
      <c r="P64" s="8">
        <f t="shared" si="6"/>
        <v>1.9653506971319803</v>
      </c>
      <c r="Q64" s="2">
        <f t="shared" si="7"/>
        <v>1.4649302868019687E-2</v>
      </c>
      <c r="R64">
        <f t="shared" si="8"/>
        <v>2.1460207451896981E-4</v>
      </c>
    </row>
    <row r="65" spans="1:18" x14ac:dyDescent="0.2">
      <c r="A65">
        <f>IF(tips!A65="Male",1,2)</f>
        <v>1</v>
      </c>
      <c r="B65">
        <f>IF(tips!B65="No",1,2)</f>
        <v>2</v>
      </c>
      <c r="C65">
        <f>IF(tips!D65="Dinner",1,2)</f>
        <v>1</v>
      </c>
      <c r="D65">
        <f>IF(tips!C65="Sun",1,IF(tips!C65="Fri",2,IF(tips!C65="Sat",3,IF(tips!C65="Thur",4))))</f>
        <v>3</v>
      </c>
      <c r="E65" s="2">
        <v>4</v>
      </c>
      <c r="F65" s="2">
        <v>18.29</v>
      </c>
      <c r="G65" s="8">
        <v>3.76</v>
      </c>
      <c r="H65" s="2"/>
      <c r="I65" s="3">
        <v>0.75944339705833919</v>
      </c>
      <c r="J65" s="3">
        <f t="shared" si="0"/>
        <v>3.7183538040686311E-2</v>
      </c>
      <c r="K65" s="3">
        <f t="shared" si="1"/>
        <v>-0.14737551705234733</v>
      </c>
      <c r="L65" s="3">
        <f t="shared" si="2"/>
        <v>8.8727762736486165E-2</v>
      </c>
      <c r="M65" s="3">
        <f t="shared" si="3"/>
        <v>-0.16049652843020407</v>
      </c>
      <c r="N65" s="3">
        <f t="shared" si="4"/>
        <v>0.69573246429438729</v>
      </c>
      <c r="O65" s="3">
        <f t="shared" si="5"/>
        <v>1.7261010120722415</v>
      </c>
      <c r="P65" s="8">
        <f t="shared" si="6"/>
        <v>2.9993161287195891</v>
      </c>
      <c r="Q65" s="2">
        <f t="shared" si="7"/>
        <v>0.76068387128041071</v>
      </c>
      <c r="R65">
        <f t="shared" si="8"/>
        <v>0.57863995202615248</v>
      </c>
    </row>
    <row r="66" spans="1:18" x14ac:dyDescent="0.2">
      <c r="A66">
        <f>IF(tips!A66="Male",1,2)</f>
        <v>1</v>
      </c>
      <c r="B66">
        <f>IF(tips!B66="No",1,2)</f>
        <v>1</v>
      </c>
      <c r="C66">
        <f>IF(tips!D66="Dinner",1,2)</f>
        <v>1</v>
      </c>
      <c r="D66">
        <f>IF(tips!C66="Sun",1,IF(tips!C66="Fri",2,IF(tips!C66="Sat",3,IF(tips!C66="Thur",4))))</f>
        <v>3</v>
      </c>
      <c r="E66" s="2">
        <v>3</v>
      </c>
      <c r="F66" s="2">
        <v>17.59</v>
      </c>
      <c r="G66" s="8">
        <v>2.64</v>
      </c>
      <c r="H66" s="2"/>
      <c r="I66" s="3">
        <v>0.75944339705833919</v>
      </c>
      <c r="J66" s="3">
        <f t="shared" si="0"/>
        <v>3.7183538040686311E-2</v>
      </c>
      <c r="K66" s="3">
        <f t="shared" si="1"/>
        <v>-7.3687758526173666E-2</v>
      </c>
      <c r="L66" s="3">
        <f t="shared" si="2"/>
        <v>8.8727762736486165E-2</v>
      </c>
      <c r="M66" s="3">
        <f t="shared" si="3"/>
        <v>-0.16049652843020407</v>
      </c>
      <c r="N66" s="3">
        <f t="shared" si="4"/>
        <v>0.52179934822079044</v>
      </c>
      <c r="O66" s="3">
        <f t="shared" si="5"/>
        <v>1.6600391909431782</v>
      </c>
      <c r="P66" s="8">
        <f t="shared" si="6"/>
        <v>2.8330089500431024</v>
      </c>
      <c r="Q66" s="2">
        <f t="shared" si="7"/>
        <v>-0.19300895004310226</v>
      </c>
      <c r="R66">
        <f t="shared" si="8"/>
        <v>3.725245479674074E-2</v>
      </c>
    </row>
    <row r="67" spans="1:18" x14ac:dyDescent="0.2">
      <c r="A67">
        <f>IF(tips!A67="Male",1,2)</f>
        <v>1</v>
      </c>
      <c r="B67">
        <f>IF(tips!B67="No",1,2)</f>
        <v>1</v>
      </c>
      <c r="C67">
        <f>IF(tips!D67="Dinner",1,2)</f>
        <v>1</v>
      </c>
      <c r="D67">
        <f>IF(tips!C67="Sun",1,IF(tips!C67="Fri",2,IF(tips!C67="Sat",3,IF(tips!C67="Thur",4))))</f>
        <v>3</v>
      </c>
      <c r="E67" s="2">
        <v>3</v>
      </c>
      <c r="F67" s="2">
        <v>20.079999999999998</v>
      </c>
      <c r="G67" s="8">
        <v>3.15</v>
      </c>
      <c r="H67" s="2"/>
      <c r="I67" s="3">
        <v>0.75944339705833919</v>
      </c>
      <c r="J67" s="3">
        <f t="shared" ref="J67:J130" si="9">$J$1*A67</f>
        <v>3.7183538040686311E-2</v>
      </c>
      <c r="K67" s="3">
        <f t="shared" ref="K67:K130" si="10">$K$1*B67</f>
        <v>-7.3687758526173666E-2</v>
      </c>
      <c r="L67" s="3">
        <f t="shared" ref="L67:L130" si="11">$L$1*C67</f>
        <v>8.8727762736486165E-2</v>
      </c>
      <c r="M67" s="3">
        <f t="shared" ref="M67:M130" si="12">$M$1*D67</f>
        <v>-0.16049652843020407</v>
      </c>
      <c r="N67" s="3">
        <f t="shared" ref="N67:N130" si="13">$N$1*E67</f>
        <v>0.52179934822079044</v>
      </c>
      <c r="O67" s="3">
        <f t="shared" ref="O67:O130" si="14">$O$1*F67</f>
        <v>1.8950305261022748</v>
      </c>
      <c r="P67" s="8">
        <f t="shared" ref="P67:P130" si="15">SUM(I67:O67)</f>
        <v>3.0680002852021993</v>
      </c>
      <c r="Q67" s="2">
        <f t="shared" ref="Q67:Q130" si="16">G67-P67</f>
        <v>8.199971479780066E-2</v>
      </c>
      <c r="R67">
        <f t="shared" ref="R67:R130" si="17">Q67*Q67</f>
        <v>6.7239532269206485E-3</v>
      </c>
    </row>
    <row r="68" spans="1:18" x14ac:dyDescent="0.2">
      <c r="A68">
        <f>IF(tips!A68="Male",1,2)</f>
        <v>2</v>
      </c>
      <c r="B68">
        <f>IF(tips!B68="No",1,2)</f>
        <v>1</v>
      </c>
      <c r="C68">
        <f>IF(tips!D68="Dinner",1,2)</f>
        <v>1</v>
      </c>
      <c r="D68">
        <f>IF(tips!C68="Sun",1,IF(tips!C68="Fri",2,IF(tips!C68="Sat",3,IF(tips!C68="Thur",4))))</f>
        <v>3</v>
      </c>
      <c r="E68" s="2">
        <v>2</v>
      </c>
      <c r="F68" s="2">
        <v>16.45</v>
      </c>
      <c r="G68" s="8">
        <v>2.4700000000000002</v>
      </c>
      <c r="H68" s="2"/>
      <c r="I68" s="3">
        <v>0.75944339705833919</v>
      </c>
      <c r="J68" s="3">
        <f t="shared" si="9"/>
        <v>7.4367076081372621E-2</v>
      </c>
      <c r="K68" s="3">
        <f t="shared" si="10"/>
        <v>-7.3687758526173666E-2</v>
      </c>
      <c r="L68" s="3">
        <f t="shared" si="11"/>
        <v>8.8727762736486165E-2</v>
      </c>
      <c r="M68" s="3">
        <f t="shared" si="12"/>
        <v>-0.16049652843020407</v>
      </c>
      <c r="N68" s="3">
        <f t="shared" si="13"/>
        <v>0.34786623214719364</v>
      </c>
      <c r="O68" s="3">
        <f t="shared" si="14"/>
        <v>1.5524527965329893</v>
      </c>
      <c r="P68" s="8">
        <f t="shared" si="15"/>
        <v>2.5886729776000035</v>
      </c>
      <c r="Q68" s="2">
        <f t="shared" si="16"/>
        <v>-0.11867297760000328</v>
      </c>
      <c r="R68">
        <f t="shared" si="17"/>
        <v>1.4083275612450881E-2</v>
      </c>
    </row>
    <row r="69" spans="1:18" x14ac:dyDescent="0.2">
      <c r="A69">
        <f>IF(tips!A69="Male",1,2)</f>
        <v>2</v>
      </c>
      <c r="B69">
        <f>IF(tips!B69="No",1,2)</f>
        <v>2</v>
      </c>
      <c r="C69">
        <f>IF(tips!D69="Dinner",1,2)</f>
        <v>1</v>
      </c>
      <c r="D69">
        <f>IF(tips!C69="Sun",1,IF(tips!C69="Fri",2,IF(tips!C69="Sat",3,IF(tips!C69="Thur",4))))</f>
        <v>3</v>
      </c>
      <c r="E69" s="2">
        <v>1</v>
      </c>
      <c r="F69" s="2">
        <v>3.07</v>
      </c>
      <c r="G69" s="8">
        <v>1</v>
      </c>
      <c r="H69" s="2"/>
      <c r="I69" s="3">
        <v>0.75944339705833919</v>
      </c>
      <c r="J69" s="3">
        <f t="shared" si="9"/>
        <v>7.4367076081372621E-2</v>
      </c>
      <c r="K69" s="3">
        <f t="shared" si="10"/>
        <v>-0.14737551705234733</v>
      </c>
      <c r="L69" s="3">
        <f t="shared" si="11"/>
        <v>8.8727762736486165E-2</v>
      </c>
      <c r="M69" s="3">
        <f t="shared" si="12"/>
        <v>-0.16049652843020407</v>
      </c>
      <c r="N69" s="3">
        <f t="shared" si="13"/>
        <v>0.17393311607359682</v>
      </c>
      <c r="O69" s="3">
        <f t="shared" si="14"/>
        <v>0.28972827266603507</v>
      </c>
      <c r="P69" s="8">
        <f t="shared" si="15"/>
        <v>1.0783275791332785</v>
      </c>
      <c r="Q69" s="2">
        <f t="shared" si="16"/>
        <v>-7.832757913327848E-2</v>
      </c>
      <c r="R69">
        <f t="shared" si="17"/>
        <v>6.1352096528800026E-3</v>
      </c>
    </row>
    <row r="70" spans="1:18" x14ac:dyDescent="0.2">
      <c r="A70">
        <f>IF(tips!A70="Male",1,2)</f>
        <v>1</v>
      </c>
      <c r="B70">
        <f>IF(tips!B70="No",1,2)</f>
        <v>1</v>
      </c>
      <c r="C70">
        <f>IF(tips!D70="Dinner",1,2)</f>
        <v>1</v>
      </c>
      <c r="D70">
        <f>IF(tips!C70="Sun",1,IF(tips!C70="Fri",2,IF(tips!C70="Sat",3,IF(tips!C70="Thur",4))))</f>
        <v>3</v>
      </c>
      <c r="E70" s="2">
        <v>2</v>
      </c>
      <c r="F70" s="2">
        <v>20.23</v>
      </c>
      <c r="G70" s="8">
        <v>2.0099999999999998</v>
      </c>
      <c r="H70" s="2"/>
      <c r="I70" s="3">
        <v>0.75944339705833919</v>
      </c>
      <c r="J70" s="3">
        <f t="shared" si="9"/>
        <v>3.7183538040686311E-2</v>
      </c>
      <c r="K70" s="3">
        <f t="shared" si="10"/>
        <v>-7.3687758526173666E-2</v>
      </c>
      <c r="L70" s="3">
        <f t="shared" si="11"/>
        <v>8.8727762736486165E-2</v>
      </c>
      <c r="M70" s="3">
        <f t="shared" si="12"/>
        <v>-0.16049652843020407</v>
      </c>
      <c r="N70" s="3">
        <f t="shared" si="13"/>
        <v>0.34786623214719364</v>
      </c>
      <c r="O70" s="3">
        <f t="shared" si="14"/>
        <v>1.9091866306299314</v>
      </c>
      <c r="P70" s="8">
        <f t="shared" si="15"/>
        <v>2.908223273656259</v>
      </c>
      <c r="Q70" s="2">
        <f t="shared" si="16"/>
        <v>-0.8982232736562592</v>
      </c>
      <c r="R70">
        <f t="shared" si="17"/>
        <v>0.80680504933776709</v>
      </c>
    </row>
    <row r="71" spans="1:18" x14ac:dyDescent="0.2">
      <c r="A71">
        <f>IF(tips!A71="Male",1,2)</f>
        <v>1</v>
      </c>
      <c r="B71">
        <f>IF(tips!B71="No",1,2)</f>
        <v>2</v>
      </c>
      <c r="C71">
        <f>IF(tips!D71="Dinner",1,2)</f>
        <v>1</v>
      </c>
      <c r="D71">
        <f>IF(tips!C71="Sun",1,IF(tips!C71="Fri",2,IF(tips!C71="Sat",3,IF(tips!C71="Thur",4))))</f>
        <v>3</v>
      </c>
      <c r="E71" s="2">
        <v>2</v>
      </c>
      <c r="F71" s="2">
        <v>15.01</v>
      </c>
      <c r="G71" s="8">
        <v>2.09</v>
      </c>
      <c r="H71" s="2"/>
      <c r="I71" s="3">
        <v>0.75944339705833919</v>
      </c>
      <c r="J71" s="3">
        <f t="shared" si="9"/>
        <v>3.7183538040686311E-2</v>
      </c>
      <c r="K71" s="3">
        <f t="shared" si="10"/>
        <v>-0.14737551705234733</v>
      </c>
      <c r="L71" s="3">
        <f t="shared" si="11"/>
        <v>8.8727762736486165E-2</v>
      </c>
      <c r="M71" s="3">
        <f t="shared" si="12"/>
        <v>-0.16049652843020407</v>
      </c>
      <c r="N71" s="3">
        <f t="shared" si="13"/>
        <v>0.34786623214719364</v>
      </c>
      <c r="O71" s="3">
        <f t="shared" si="14"/>
        <v>1.4165541930674874</v>
      </c>
      <c r="P71" s="8">
        <f t="shared" si="15"/>
        <v>2.3419030775676415</v>
      </c>
      <c r="Q71" s="2">
        <f t="shared" si="16"/>
        <v>-0.25190307756764163</v>
      </c>
      <c r="R71">
        <f t="shared" si="17"/>
        <v>6.3455160488049278E-2</v>
      </c>
    </row>
    <row r="72" spans="1:18" x14ac:dyDescent="0.2">
      <c r="A72">
        <f>IF(tips!A72="Male",1,2)</f>
        <v>1</v>
      </c>
      <c r="B72">
        <f>IF(tips!B72="No",1,2)</f>
        <v>1</v>
      </c>
      <c r="C72">
        <f>IF(tips!D72="Dinner",1,2)</f>
        <v>1</v>
      </c>
      <c r="D72">
        <f>IF(tips!C72="Sun",1,IF(tips!C72="Fri",2,IF(tips!C72="Sat",3,IF(tips!C72="Thur",4))))</f>
        <v>3</v>
      </c>
      <c r="E72" s="2">
        <v>2</v>
      </c>
      <c r="F72" s="2">
        <v>12.02</v>
      </c>
      <c r="G72" s="8">
        <v>1.97</v>
      </c>
      <c r="H72" s="2"/>
      <c r="I72" s="3">
        <v>0.75944339705833919</v>
      </c>
      <c r="J72" s="3">
        <f t="shared" si="9"/>
        <v>3.7183538040686311E-2</v>
      </c>
      <c r="K72" s="3">
        <f t="shared" si="10"/>
        <v>-7.3687758526173666E-2</v>
      </c>
      <c r="L72" s="3">
        <f t="shared" si="11"/>
        <v>8.8727762736486165E-2</v>
      </c>
      <c r="M72" s="3">
        <f t="shared" si="12"/>
        <v>-0.16049652843020407</v>
      </c>
      <c r="N72" s="3">
        <f t="shared" si="13"/>
        <v>0.34786623214719364</v>
      </c>
      <c r="O72" s="3">
        <f t="shared" si="14"/>
        <v>1.1343758428162025</v>
      </c>
      <c r="P72" s="8">
        <f t="shared" si="15"/>
        <v>2.1334124858425301</v>
      </c>
      <c r="Q72" s="2">
        <f t="shared" si="16"/>
        <v>-0.1634124858425301</v>
      </c>
      <c r="R72">
        <f t="shared" si="17"/>
        <v>2.6703640529235101E-2</v>
      </c>
    </row>
    <row r="73" spans="1:18" x14ac:dyDescent="0.2">
      <c r="A73">
        <f>IF(tips!A73="Male",1,2)</f>
        <v>2</v>
      </c>
      <c r="B73">
        <f>IF(tips!B73="No",1,2)</f>
        <v>1</v>
      </c>
      <c r="C73">
        <f>IF(tips!D73="Dinner",1,2)</f>
        <v>1</v>
      </c>
      <c r="D73">
        <f>IF(tips!C73="Sun",1,IF(tips!C73="Fri",2,IF(tips!C73="Sat",3,IF(tips!C73="Thur",4))))</f>
        <v>3</v>
      </c>
      <c r="E73" s="2">
        <v>3</v>
      </c>
      <c r="F73" s="2">
        <v>17.07</v>
      </c>
      <c r="G73" s="8">
        <v>3</v>
      </c>
      <c r="H73" s="2"/>
      <c r="I73" s="3">
        <v>0.75944339705833919</v>
      </c>
      <c r="J73" s="3">
        <f t="shared" si="9"/>
        <v>7.4367076081372621E-2</v>
      </c>
      <c r="K73" s="3">
        <f t="shared" si="10"/>
        <v>-7.3687758526173666E-2</v>
      </c>
      <c r="L73" s="3">
        <f t="shared" si="11"/>
        <v>8.8727762736486165E-2</v>
      </c>
      <c r="M73" s="3">
        <f t="shared" si="12"/>
        <v>-0.16049652843020407</v>
      </c>
      <c r="N73" s="3">
        <f t="shared" si="13"/>
        <v>0.52179934822079044</v>
      </c>
      <c r="O73" s="3">
        <f t="shared" si="14"/>
        <v>1.6109646952473027</v>
      </c>
      <c r="P73" s="8">
        <f t="shared" si="15"/>
        <v>2.8211179923879133</v>
      </c>
      <c r="Q73" s="2">
        <f t="shared" si="16"/>
        <v>0.17888200761208672</v>
      </c>
      <c r="R73">
        <f t="shared" si="17"/>
        <v>3.1998772647330656E-2</v>
      </c>
    </row>
    <row r="74" spans="1:18" x14ac:dyDescent="0.2">
      <c r="A74">
        <f>IF(tips!A74="Male",1,2)</f>
        <v>2</v>
      </c>
      <c r="B74">
        <f>IF(tips!B74="No",1,2)</f>
        <v>2</v>
      </c>
      <c r="C74">
        <f>IF(tips!D74="Dinner",1,2)</f>
        <v>1</v>
      </c>
      <c r="D74">
        <f>IF(tips!C74="Sun",1,IF(tips!C74="Fri",2,IF(tips!C74="Sat",3,IF(tips!C74="Thur",4))))</f>
        <v>3</v>
      </c>
      <c r="E74" s="2">
        <v>2</v>
      </c>
      <c r="F74" s="2">
        <v>26.86</v>
      </c>
      <c r="G74" s="8">
        <v>3.14</v>
      </c>
      <c r="H74" s="2"/>
      <c r="I74" s="3">
        <v>0.75944339705833919</v>
      </c>
      <c r="J74" s="3">
        <f t="shared" si="9"/>
        <v>7.4367076081372621E-2</v>
      </c>
      <c r="K74" s="3">
        <f t="shared" si="10"/>
        <v>-0.14737551705234733</v>
      </c>
      <c r="L74" s="3">
        <f t="shared" si="11"/>
        <v>8.8727762736486165E-2</v>
      </c>
      <c r="M74" s="3">
        <f t="shared" si="12"/>
        <v>-0.16049652843020407</v>
      </c>
      <c r="N74" s="3">
        <f t="shared" si="13"/>
        <v>0.34786623214719364</v>
      </c>
      <c r="O74" s="3">
        <f t="shared" si="14"/>
        <v>2.5348864507523459</v>
      </c>
      <c r="P74" s="8">
        <f t="shared" si="15"/>
        <v>3.4974188732931859</v>
      </c>
      <c r="Q74" s="2">
        <f t="shared" si="16"/>
        <v>-0.35741887329318578</v>
      </c>
      <c r="R74">
        <f t="shared" si="17"/>
        <v>0.1277482509861704</v>
      </c>
    </row>
    <row r="75" spans="1:18" x14ac:dyDescent="0.2">
      <c r="A75">
        <f>IF(tips!A75="Male",1,2)</f>
        <v>2</v>
      </c>
      <c r="B75">
        <f>IF(tips!B75="No",1,2)</f>
        <v>2</v>
      </c>
      <c r="C75">
        <f>IF(tips!D75="Dinner",1,2)</f>
        <v>1</v>
      </c>
      <c r="D75">
        <f>IF(tips!C75="Sun",1,IF(tips!C75="Fri",2,IF(tips!C75="Sat",3,IF(tips!C75="Thur",4))))</f>
        <v>3</v>
      </c>
      <c r="E75" s="2">
        <v>2</v>
      </c>
      <c r="F75" s="2">
        <v>25.28</v>
      </c>
      <c r="G75" s="8">
        <v>5</v>
      </c>
      <c r="H75" s="2"/>
      <c r="I75" s="3">
        <v>0.75944339705833919</v>
      </c>
      <c r="J75" s="3">
        <f t="shared" si="9"/>
        <v>7.4367076081372621E-2</v>
      </c>
      <c r="K75" s="3">
        <f t="shared" si="10"/>
        <v>-0.14737551705234733</v>
      </c>
      <c r="L75" s="3">
        <f t="shared" si="11"/>
        <v>8.8727762736486165E-2</v>
      </c>
      <c r="M75" s="3">
        <f t="shared" si="12"/>
        <v>-0.16049652843020407</v>
      </c>
      <c r="N75" s="3">
        <f t="shared" si="13"/>
        <v>0.34786623214719364</v>
      </c>
      <c r="O75" s="3">
        <f t="shared" si="14"/>
        <v>2.3857754830610318</v>
      </c>
      <c r="P75" s="8">
        <f t="shared" si="15"/>
        <v>3.3483079056018719</v>
      </c>
      <c r="Q75" s="2">
        <f t="shared" si="16"/>
        <v>1.6516920943981281</v>
      </c>
      <c r="R75">
        <f t="shared" si="17"/>
        <v>2.728086774697275</v>
      </c>
    </row>
    <row r="76" spans="1:18" x14ac:dyDescent="0.2">
      <c r="A76">
        <f>IF(tips!A76="Male",1,2)</f>
        <v>2</v>
      </c>
      <c r="B76">
        <f>IF(tips!B76="No",1,2)</f>
        <v>1</v>
      </c>
      <c r="C76">
        <f>IF(tips!D76="Dinner",1,2)</f>
        <v>1</v>
      </c>
      <c r="D76">
        <f>IF(tips!C76="Sun",1,IF(tips!C76="Fri",2,IF(tips!C76="Sat",3,IF(tips!C76="Thur",4))))</f>
        <v>3</v>
      </c>
      <c r="E76" s="2">
        <v>2</v>
      </c>
      <c r="F76" s="2">
        <v>14.73</v>
      </c>
      <c r="G76" s="8">
        <v>2.2000000000000002</v>
      </c>
      <c r="H76" s="2"/>
      <c r="I76" s="3">
        <v>0.75944339705833919</v>
      </c>
      <c r="J76" s="3">
        <f t="shared" si="9"/>
        <v>7.4367076081372621E-2</v>
      </c>
      <c r="K76" s="3">
        <f t="shared" si="10"/>
        <v>-7.3687758526173666E-2</v>
      </c>
      <c r="L76" s="3">
        <f t="shared" si="11"/>
        <v>8.8727762736486165E-2</v>
      </c>
      <c r="M76" s="3">
        <f t="shared" si="12"/>
        <v>-0.16049652843020407</v>
      </c>
      <c r="N76" s="3">
        <f t="shared" si="13"/>
        <v>0.34786623214719364</v>
      </c>
      <c r="O76" s="3">
        <f t="shared" si="14"/>
        <v>1.3901294646158622</v>
      </c>
      <c r="P76" s="8">
        <f t="shared" si="15"/>
        <v>2.4263496456828761</v>
      </c>
      <c r="Q76" s="2">
        <f t="shared" si="16"/>
        <v>-0.22634964568287597</v>
      </c>
      <c r="R76">
        <f t="shared" si="17"/>
        <v>5.1234162100763488E-2</v>
      </c>
    </row>
    <row r="77" spans="1:18" x14ac:dyDescent="0.2">
      <c r="A77">
        <f>IF(tips!A77="Male",1,2)</f>
        <v>1</v>
      </c>
      <c r="B77">
        <f>IF(tips!B77="No",1,2)</f>
        <v>1</v>
      </c>
      <c r="C77">
        <f>IF(tips!D77="Dinner",1,2)</f>
        <v>1</v>
      </c>
      <c r="D77">
        <f>IF(tips!C77="Sun",1,IF(tips!C77="Fri",2,IF(tips!C77="Sat",3,IF(tips!C77="Thur",4))))</f>
        <v>3</v>
      </c>
      <c r="E77" s="2">
        <v>2</v>
      </c>
      <c r="F77" s="2">
        <v>10.51</v>
      </c>
      <c r="G77" s="8">
        <v>1.25</v>
      </c>
      <c r="H77" s="2"/>
      <c r="I77" s="3">
        <v>0.75944339705833919</v>
      </c>
      <c r="J77" s="3">
        <f t="shared" si="9"/>
        <v>3.7183538040686311E-2</v>
      </c>
      <c r="K77" s="3">
        <f t="shared" si="10"/>
        <v>-7.3687758526173666E-2</v>
      </c>
      <c r="L77" s="3">
        <f t="shared" si="11"/>
        <v>8.8727762736486165E-2</v>
      </c>
      <c r="M77" s="3">
        <f t="shared" si="12"/>
        <v>-0.16049652843020407</v>
      </c>
      <c r="N77" s="3">
        <f t="shared" si="13"/>
        <v>0.34786623214719364</v>
      </c>
      <c r="O77" s="3">
        <f t="shared" si="14"/>
        <v>0.99187105723779434</v>
      </c>
      <c r="P77" s="8">
        <f t="shared" si="15"/>
        <v>1.9909077002641218</v>
      </c>
      <c r="Q77" s="2">
        <f t="shared" si="16"/>
        <v>-0.74090770026412178</v>
      </c>
      <c r="R77">
        <f t="shared" si="17"/>
        <v>0.54894422031066969</v>
      </c>
    </row>
    <row r="78" spans="1:18" x14ac:dyDescent="0.2">
      <c r="A78">
        <f>IF(tips!A78="Male",1,2)</f>
        <v>1</v>
      </c>
      <c r="B78">
        <f>IF(tips!B78="No",1,2)</f>
        <v>2</v>
      </c>
      <c r="C78">
        <f>IF(tips!D78="Dinner",1,2)</f>
        <v>1</v>
      </c>
      <c r="D78">
        <f>IF(tips!C78="Sun",1,IF(tips!C78="Fri",2,IF(tips!C78="Sat",3,IF(tips!C78="Thur",4))))</f>
        <v>3</v>
      </c>
      <c r="E78" s="2">
        <v>2</v>
      </c>
      <c r="F78" s="2">
        <v>17.920000000000002</v>
      </c>
      <c r="G78" s="8">
        <v>3.08</v>
      </c>
      <c r="H78" s="2"/>
      <c r="I78" s="3">
        <v>0.75944339705833919</v>
      </c>
      <c r="J78" s="3">
        <f t="shared" si="9"/>
        <v>3.7183538040686311E-2</v>
      </c>
      <c r="K78" s="3">
        <f t="shared" si="10"/>
        <v>-0.14737551705234733</v>
      </c>
      <c r="L78" s="3">
        <f t="shared" si="11"/>
        <v>8.8727762736486165E-2</v>
      </c>
      <c r="M78" s="3">
        <f t="shared" si="12"/>
        <v>-0.16049652843020407</v>
      </c>
      <c r="N78" s="3">
        <f t="shared" si="13"/>
        <v>0.34786623214719364</v>
      </c>
      <c r="O78" s="3">
        <f t="shared" si="14"/>
        <v>1.6911826209040226</v>
      </c>
      <c r="P78" s="8">
        <f t="shared" si="15"/>
        <v>2.6165315054041764</v>
      </c>
      <c r="Q78" s="2">
        <f t="shared" si="16"/>
        <v>0.46346849459582362</v>
      </c>
      <c r="R78">
        <f t="shared" si="17"/>
        <v>0.21480304548291898</v>
      </c>
    </row>
    <row r="79" spans="1:18" x14ac:dyDescent="0.2">
      <c r="A79">
        <f>IF(tips!A79="Male",1,2)</f>
        <v>1</v>
      </c>
      <c r="B79">
        <f>IF(tips!B79="No",1,2)</f>
        <v>1</v>
      </c>
      <c r="C79">
        <f>IF(tips!D79="Dinner",1,2)</f>
        <v>2</v>
      </c>
      <c r="D79">
        <f>IF(tips!C79="Sun",1,IF(tips!C79="Fri",2,IF(tips!C79="Sat",3,IF(tips!C79="Thur",4))))</f>
        <v>4</v>
      </c>
      <c r="E79" s="2">
        <v>4</v>
      </c>
      <c r="F79" s="2">
        <v>27.2</v>
      </c>
      <c r="G79" s="8">
        <v>4</v>
      </c>
      <c r="H79" s="2"/>
      <c r="I79" s="3">
        <v>0.75944339705833919</v>
      </c>
      <c r="J79" s="3">
        <f t="shared" si="9"/>
        <v>3.7183538040686311E-2</v>
      </c>
      <c r="K79" s="3">
        <f t="shared" si="10"/>
        <v>-7.3687758526173666E-2</v>
      </c>
      <c r="L79" s="3">
        <f t="shared" si="11"/>
        <v>0.17745552547297233</v>
      </c>
      <c r="M79" s="3">
        <f t="shared" si="12"/>
        <v>-0.2139953712402721</v>
      </c>
      <c r="N79" s="3">
        <f t="shared" si="13"/>
        <v>0.69573246429438729</v>
      </c>
      <c r="O79" s="3">
        <f t="shared" si="14"/>
        <v>2.566973621015034</v>
      </c>
      <c r="P79" s="8">
        <f t="shared" si="15"/>
        <v>3.949105416114973</v>
      </c>
      <c r="Q79" s="2">
        <f t="shared" si="16"/>
        <v>5.0894583885026989E-2</v>
      </c>
      <c r="R79">
        <f t="shared" si="17"/>
        <v>2.5902586688300489E-3</v>
      </c>
    </row>
    <row r="80" spans="1:18" x14ac:dyDescent="0.2">
      <c r="A80">
        <f>IF(tips!A80="Male",1,2)</f>
        <v>1</v>
      </c>
      <c r="B80">
        <f>IF(tips!B80="No",1,2)</f>
        <v>1</v>
      </c>
      <c r="C80">
        <f>IF(tips!D80="Dinner",1,2)</f>
        <v>2</v>
      </c>
      <c r="D80">
        <f>IF(tips!C80="Sun",1,IF(tips!C80="Fri",2,IF(tips!C80="Sat",3,IF(tips!C80="Thur",4))))</f>
        <v>4</v>
      </c>
      <c r="E80" s="2">
        <v>2</v>
      </c>
      <c r="F80" s="2">
        <v>22.76</v>
      </c>
      <c r="G80" s="8">
        <v>3</v>
      </c>
      <c r="H80" s="2"/>
      <c r="I80" s="3">
        <v>0.75944339705833919</v>
      </c>
      <c r="J80" s="3">
        <f t="shared" si="9"/>
        <v>3.7183538040686311E-2</v>
      </c>
      <c r="K80" s="3">
        <f t="shared" si="10"/>
        <v>-7.3687758526173666E-2</v>
      </c>
      <c r="L80" s="3">
        <f t="shared" si="11"/>
        <v>0.17745552547297233</v>
      </c>
      <c r="M80" s="3">
        <f t="shared" si="12"/>
        <v>-0.2139953712402721</v>
      </c>
      <c r="N80" s="3">
        <f t="shared" si="13"/>
        <v>0.34786623214719364</v>
      </c>
      <c r="O80" s="3">
        <f t="shared" si="14"/>
        <v>2.1479529269964037</v>
      </c>
      <c r="P80" s="8">
        <f t="shared" si="15"/>
        <v>3.1822184899491495</v>
      </c>
      <c r="Q80" s="2">
        <f t="shared" si="16"/>
        <v>-0.18221848994914946</v>
      </c>
      <c r="R80">
        <f t="shared" si="17"/>
        <v>3.3203578079348282E-2</v>
      </c>
    </row>
    <row r="81" spans="1:18" x14ac:dyDescent="0.2">
      <c r="A81">
        <f>IF(tips!A81="Male",1,2)</f>
        <v>1</v>
      </c>
      <c r="B81">
        <f>IF(tips!B81="No",1,2)</f>
        <v>1</v>
      </c>
      <c r="C81">
        <f>IF(tips!D81="Dinner",1,2)</f>
        <v>2</v>
      </c>
      <c r="D81">
        <f>IF(tips!C81="Sun",1,IF(tips!C81="Fri",2,IF(tips!C81="Sat",3,IF(tips!C81="Thur",4))))</f>
        <v>4</v>
      </c>
      <c r="E81" s="2">
        <v>2</v>
      </c>
      <c r="F81" s="2">
        <v>17.29</v>
      </c>
      <c r="G81" s="8">
        <v>2.71</v>
      </c>
      <c r="H81" s="2"/>
      <c r="I81" s="3">
        <v>0.75944339705833919</v>
      </c>
      <c r="J81" s="3">
        <f t="shared" si="9"/>
        <v>3.7183538040686311E-2</v>
      </c>
      <c r="K81" s="3">
        <f t="shared" si="10"/>
        <v>-7.3687758526173666E-2</v>
      </c>
      <c r="L81" s="3">
        <f t="shared" si="11"/>
        <v>0.17745552547297233</v>
      </c>
      <c r="M81" s="3">
        <f t="shared" si="12"/>
        <v>-0.2139953712402721</v>
      </c>
      <c r="N81" s="3">
        <f t="shared" si="13"/>
        <v>0.34786623214719364</v>
      </c>
      <c r="O81" s="3">
        <f t="shared" si="14"/>
        <v>1.6317269818878652</v>
      </c>
      <c r="P81" s="8">
        <f t="shared" si="15"/>
        <v>2.665992544840611</v>
      </c>
      <c r="Q81" s="2">
        <f t="shared" si="16"/>
        <v>4.4007455159388975E-2</v>
      </c>
      <c r="R81">
        <f t="shared" si="17"/>
        <v>1.9366561096056314E-3</v>
      </c>
    </row>
    <row r="82" spans="1:18" x14ac:dyDescent="0.2">
      <c r="A82">
        <f>IF(tips!A82="Male",1,2)</f>
        <v>1</v>
      </c>
      <c r="B82">
        <f>IF(tips!B82="No",1,2)</f>
        <v>2</v>
      </c>
      <c r="C82">
        <f>IF(tips!D82="Dinner",1,2)</f>
        <v>2</v>
      </c>
      <c r="D82">
        <f>IF(tips!C82="Sun",1,IF(tips!C82="Fri",2,IF(tips!C82="Sat",3,IF(tips!C82="Thur",4))))</f>
        <v>4</v>
      </c>
      <c r="E82" s="2">
        <v>2</v>
      </c>
      <c r="F82" s="2">
        <v>19.440000000000001</v>
      </c>
      <c r="G82" s="8">
        <v>3</v>
      </c>
      <c r="H82" s="2"/>
      <c r="I82" s="3">
        <v>0.75944339705833919</v>
      </c>
      <c r="J82" s="3">
        <f t="shared" si="9"/>
        <v>3.7183538040686311E-2</v>
      </c>
      <c r="K82" s="3">
        <f t="shared" si="10"/>
        <v>-0.14737551705234733</v>
      </c>
      <c r="L82" s="3">
        <f t="shared" si="11"/>
        <v>0.17745552547297233</v>
      </c>
      <c r="M82" s="3">
        <f t="shared" si="12"/>
        <v>-0.2139953712402721</v>
      </c>
      <c r="N82" s="3">
        <f t="shared" si="13"/>
        <v>0.34786623214719364</v>
      </c>
      <c r="O82" s="3">
        <f t="shared" si="14"/>
        <v>1.8346311467842744</v>
      </c>
      <c r="P82" s="8">
        <f t="shared" si="15"/>
        <v>2.7952089512108467</v>
      </c>
      <c r="Q82" s="2">
        <f t="shared" si="16"/>
        <v>0.20479104878915333</v>
      </c>
      <c r="R82">
        <f t="shared" si="17"/>
        <v>4.1939373664161381E-2</v>
      </c>
    </row>
    <row r="83" spans="1:18" x14ac:dyDescent="0.2">
      <c r="A83">
        <f>IF(tips!A83="Male",1,2)</f>
        <v>1</v>
      </c>
      <c r="B83">
        <f>IF(tips!B83="No",1,2)</f>
        <v>1</v>
      </c>
      <c r="C83">
        <f>IF(tips!D83="Dinner",1,2)</f>
        <v>2</v>
      </c>
      <c r="D83">
        <f>IF(tips!C83="Sun",1,IF(tips!C83="Fri",2,IF(tips!C83="Sat",3,IF(tips!C83="Thur",4))))</f>
        <v>4</v>
      </c>
      <c r="E83" s="2">
        <v>2</v>
      </c>
      <c r="F83" s="2">
        <v>16.66</v>
      </c>
      <c r="G83" s="8">
        <v>3.4</v>
      </c>
      <c r="H83" s="2"/>
      <c r="I83" s="3">
        <v>0.75944339705833919</v>
      </c>
      <c r="J83" s="3">
        <f t="shared" si="9"/>
        <v>3.7183538040686311E-2</v>
      </c>
      <c r="K83" s="3">
        <f t="shared" si="10"/>
        <v>-7.3687758526173666E-2</v>
      </c>
      <c r="L83" s="3">
        <f t="shared" si="11"/>
        <v>0.17745552547297233</v>
      </c>
      <c r="M83" s="3">
        <f t="shared" si="12"/>
        <v>-0.2139953712402721</v>
      </c>
      <c r="N83" s="3">
        <f t="shared" si="13"/>
        <v>0.34786623214719364</v>
      </c>
      <c r="O83" s="3">
        <f t="shared" si="14"/>
        <v>1.5722713428717083</v>
      </c>
      <c r="P83" s="8">
        <f t="shared" si="15"/>
        <v>2.6065369058244539</v>
      </c>
      <c r="Q83" s="2">
        <f t="shared" si="16"/>
        <v>0.79346309417554606</v>
      </c>
      <c r="R83">
        <f t="shared" si="17"/>
        <v>0.62958368181863145</v>
      </c>
    </row>
    <row r="84" spans="1:18" x14ac:dyDescent="0.2">
      <c r="A84">
        <f>IF(tips!A84="Male",1,2)</f>
        <v>2</v>
      </c>
      <c r="B84">
        <f>IF(tips!B84="No",1,2)</f>
        <v>1</v>
      </c>
      <c r="C84">
        <f>IF(tips!D84="Dinner",1,2)</f>
        <v>2</v>
      </c>
      <c r="D84">
        <f>IF(tips!C84="Sun",1,IF(tips!C84="Fri",2,IF(tips!C84="Sat",3,IF(tips!C84="Thur",4))))</f>
        <v>4</v>
      </c>
      <c r="E84" s="2">
        <v>1</v>
      </c>
      <c r="F84" s="2">
        <v>10.07</v>
      </c>
      <c r="G84" s="8">
        <v>1.83</v>
      </c>
      <c r="H84" s="2"/>
      <c r="I84" s="3">
        <v>0.75944339705833919</v>
      </c>
      <c r="J84" s="3">
        <f t="shared" si="9"/>
        <v>7.4367076081372621E-2</v>
      </c>
      <c r="K84" s="3">
        <f t="shared" si="10"/>
        <v>-7.3687758526173666E-2</v>
      </c>
      <c r="L84" s="3">
        <f t="shared" si="11"/>
        <v>0.17745552547297233</v>
      </c>
      <c r="M84" s="3">
        <f t="shared" si="12"/>
        <v>-0.2139953712402721</v>
      </c>
      <c r="N84" s="3">
        <f t="shared" si="13"/>
        <v>0.17393311607359682</v>
      </c>
      <c r="O84" s="3">
        <f t="shared" si="14"/>
        <v>0.95034648395666887</v>
      </c>
      <c r="P84" s="8">
        <f t="shared" si="15"/>
        <v>1.847862468876504</v>
      </c>
      <c r="Q84" s="2">
        <f t="shared" si="16"/>
        <v>-1.786246887650389E-2</v>
      </c>
      <c r="R84">
        <f t="shared" si="17"/>
        <v>3.1906779436407015E-4</v>
      </c>
    </row>
    <row r="85" spans="1:18" x14ac:dyDescent="0.2">
      <c r="A85">
        <f>IF(tips!A85="Male",1,2)</f>
        <v>1</v>
      </c>
      <c r="B85">
        <f>IF(tips!B85="No",1,2)</f>
        <v>2</v>
      </c>
      <c r="C85">
        <f>IF(tips!D85="Dinner",1,2)</f>
        <v>2</v>
      </c>
      <c r="D85">
        <f>IF(tips!C85="Sun",1,IF(tips!C85="Fri",2,IF(tips!C85="Sat",3,IF(tips!C85="Thur",4))))</f>
        <v>4</v>
      </c>
      <c r="E85" s="2">
        <v>2</v>
      </c>
      <c r="F85" s="2">
        <v>32.68</v>
      </c>
      <c r="G85" s="8">
        <v>5</v>
      </c>
      <c r="H85" s="2"/>
      <c r="I85" s="3">
        <v>0.75944339705833919</v>
      </c>
      <c r="J85" s="3">
        <f t="shared" si="9"/>
        <v>3.7183538040686311E-2</v>
      </c>
      <c r="K85" s="3">
        <f t="shared" si="10"/>
        <v>-0.14737551705234733</v>
      </c>
      <c r="L85" s="3">
        <f t="shared" si="11"/>
        <v>0.17745552547297233</v>
      </c>
      <c r="M85" s="3">
        <f t="shared" si="12"/>
        <v>-0.2139953712402721</v>
      </c>
      <c r="N85" s="3">
        <f t="shared" si="13"/>
        <v>0.34786623214719364</v>
      </c>
      <c r="O85" s="3">
        <f t="shared" si="14"/>
        <v>3.0841433064254158</v>
      </c>
      <c r="P85" s="8">
        <f t="shared" si="15"/>
        <v>4.044721110851988</v>
      </c>
      <c r="Q85" s="2">
        <f t="shared" si="16"/>
        <v>0.95527888914801196</v>
      </c>
      <c r="R85">
        <f t="shared" si="17"/>
        <v>0.91255775605185974</v>
      </c>
    </row>
    <row r="86" spans="1:18" x14ac:dyDescent="0.2">
      <c r="A86">
        <f>IF(tips!A86="Male",1,2)</f>
        <v>1</v>
      </c>
      <c r="B86">
        <f>IF(tips!B86="No",1,2)</f>
        <v>1</v>
      </c>
      <c r="C86">
        <f>IF(tips!D86="Dinner",1,2)</f>
        <v>2</v>
      </c>
      <c r="D86">
        <f>IF(tips!C86="Sun",1,IF(tips!C86="Fri",2,IF(tips!C86="Sat",3,IF(tips!C86="Thur",4))))</f>
        <v>4</v>
      </c>
      <c r="E86" s="2">
        <v>2</v>
      </c>
      <c r="F86" s="2">
        <v>15.98</v>
      </c>
      <c r="G86" s="8">
        <v>2.0299999999999998</v>
      </c>
      <c r="H86" s="2"/>
      <c r="I86" s="3">
        <v>0.75944339705833919</v>
      </c>
      <c r="J86" s="3">
        <f t="shared" si="9"/>
        <v>3.7183538040686311E-2</v>
      </c>
      <c r="K86" s="3">
        <f t="shared" si="10"/>
        <v>-7.3687758526173666E-2</v>
      </c>
      <c r="L86" s="3">
        <f t="shared" si="11"/>
        <v>0.17745552547297233</v>
      </c>
      <c r="M86" s="3">
        <f t="shared" si="12"/>
        <v>-0.2139953712402721</v>
      </c>
      <c r="N86" s="3">
        <f t="shared" si="13"/>
        <v>0.34786623214719364</v>
      </c>
      <c r="O86" s="3">
        <f t="shared" si="14"/>
        <v>1.5080970023463325</v>
      </c>
      <c r="P86" s="8">
        <f t="shared" si="15"/>
        <v>2.542362565299078</v>
      </c>
      <c r="Q86" s="2">
        <f t="shared" si="16"/>
        <v>-0.5123625652990782</v>
      </c>
      <c r="R86">
        <f t="shared" si="17"/>
        <v>0.26251539831985216</v>
      </c>
    </row>
    <row r="87" spans="1:18" x14ac:dyDescent="0.2">
      <c r="A87">
        <f>IF(tips!A87="Male",1,2)</f>
        <v>2</v>
      </c>
      <c r="B87">
        <f>IF(tips!B87="No",1,2)</f>
        <v>1</v>
      </c>
      <c r="C87">
        <f>IF(tips!D87="Dinner",1,2)</f>
        <v>2</v>
      </c>
      <c r="D87">
        <f>IF(tips!C87="Sun",1,IF(tips!C87="Fri",2,IF(tips!C87="Sat",3,IF(tips!C87="Thur",4))))</f>
        <v>4</v>
      </c>
      <c r="E87" s="2">
        <v>4</v>
      </c>
      <c r="F87" s="2">
        <v>34.83</v>
      </c>
      <c r="G87" s="8">
        <v>5.17</v>
      </c>
      <c r="H87" s="2"/>
      <c r="I87" s="3">
        <v>0.75944339705833919</v>
      </c>
      <c r="J87" s="3">
        <f t="shared" si="9"/>
        <v>7.4367076081372621E-2</v>
      </c>
      <c r="K87" s="3">
        <f t="shared" si="10"/>
        <v>-7.3687758526173666E-2</v>
      </c>
      <c r="L87" s="3">
        <f t="shared" si="11"/>
        <v>0.17745552547297233</v>
      </c>
      <c r="M87" s="3">
        <f t="shared" si="12"/>
        <v>-0.2139953712402721</v>
      </c>
      <c r="N87" s="3">
        <f t="shared" si="13"/>
        <v>0.69573246429438729</v>
      </c>
      <c r="O87" s="3">
        <f t="shared" si="14"/>
        <v>3.2870474713218245</v>
      </c>
      <c r="P87" s="8">
        <f t="shared" si="15"/>
        <v>4.7063628044624499</v>
      </c>
      <c r="Q87" s="2">
        <f t="shared" si="16"/>
        <v>0.46363719553755001</v>
      </c>
      <c r="R87">
        <f t="shared" si="17"/>
        <v>0.21495944908592438</v>
      </c>
    </row>
    <row r="88" spans="1:18" x14ac:dyDescent="0.2">
      <c r="A88">
        <f>IF(tips!A88="Male",1,2)</f>
        <v>1</v>
      </c>
      <c r="B88">
        <f>IF(tips!B88="No",1,2)</f>
        <v>1</v>
      </c>
      <c r="C88">
        <f>IF(tips!D88="Dinner",1,2)</f>
        <v>2</v>
      </c>
      <c r="D88">
        <f>IF(tips!C88="Sun",1,IF(tips!C88="Fri",2,IF(tips!C88="Sat",3,IF(tips!C88="Thur",4))))</f>
        <v>4</v>
      </c>
      <c r="E88" s="2">
        <v>2</v>
      </c>
      <c r="F88" s="2">
        <v>13.03</v>
      </c>
      <c r="G88" s="8">
        <v>2</v>
      </c>
      <c r="H88" s="2"/>
      <c r="I88" s="3">
        <v>0.75944339705833919</v>
      </c>
      <c r="J88" s="3">
        <f t="shared" si="9"/>
        <v>3.7183538040686311E-2</v>
      </c>
      <c r="K88" s="3">
        <f t="shared" si="10"/>
        <v>-7.3687758526173666E-2</v>
      </c>
      <c r="L88" s="3">
        <f t="shared" si="11"/>
        <v>0.17745552547297233</v>
      </c>
      <c r="M88" s="3">
        <f t="shared" si="12"/>
        <v>-0.2139953712402721</v>
      </c>
      <c r="N88" s="3">
        <f t="shared" si="13"/>
        <v>0.34786623214719364</v>
      </c>
      <c r="O88" s="3">
        <f t="shared" si="14"/>
        <v>1.2296936133024226</v>
      </c>
      <c r="P88" s="8">
        <f t="shared" si="15"/>
        <v>2.2639591762551681</v>
      </c>
      <c r="Q88" s="2">
        <f t="shared" si="16"/>
        <v>-0.26395917625516807</v>
      </c>
      <c r="R88">
        <f t="shared" si="17"/>
        <v>6.967444672930688E-2</v>
      </c>
    </row>
    <row r="89" spans="1:18" x14ac:dyDescent="0.2">
      <c r="A89">
        <f>IF(tips!A89="Male",1,2)</f>
        <v>1</v>
      </c>
      <c r="B89">
        <f>IF(tips!B89="No",1,2)</f>
        <v>1</v>
      </c>
      <c r="C89">
        <f>IF(tips!D89="Dinner",1,2)</f>
        <v>2</v>
      </c>
      <c r="D89">
        <f>IF(tips!C89="Sun",1,IF(tips!C89="Fri",2,IF(tips!C89="Sat",3,IF(tips!C89="Thur",4))))</f>
        <v>4</v>
      </c>
      <c r="E89" s="2">
        <v>2</v>
      </c>
      <c r="F89" s="2">
        <v>18.28</v>
      </c>
      <c r="G89" s="8">
        <v>4</v>
      </c>
      <c r="H89" s="2"/>
      <c r="I89" s="3">
        <v>0.75944339705833919</v>
      </c>
      <c r="J89" s="3">
        <f t="shared" si="9"/>
        <v>3.7183538040686311E-2</v>
      </c>
      <c r="K89" s="3">
        <f t="shared" si="10"/>
        <v>-7.3687758526173666E-2</v>
      </c>
      <c r="L89" s="3">
        <f t="shared" si="11"/>
        <v>0.17745552547297233</v>
      </c>
      <c r="M89" s="3">
        <f t="shared" si="12"/>
        <v>-0.2139953712402721</v>
      </c>
      <c r="N89" s="3">
        <f t="shared" si="13"/>
        <v>0.34786623214719364</v>
      </c>
      <c r="O89" s="3">
        <f t="shared" si="14"/>
        <v>1.725157271770398</v>
      </c>
      <c r="P89" s="8">
        <f t="shared" si="15"/>
        <v>2.7594228347231438</v>
      </c>
      <c r="Q89" s="2">
        <f t="shared" si="16"/>
        <v>1.2405771652768562</v>
      </c>
      <c r="R89">
        <f t="shared" si="17"/>
        <v>1.5390317030063603</v>
      </c>
    </row>
    <row r="90" spans="1:18" x14ac:dyDescent="0.2">
      <c r="A90">
        <f>IF(tips!A90="Male",1,2)</f>
        <v>1</v>
      </c>
      <c r="B90">
        <f>IF(tips!B90="No",1,2)</f>
        <v>1</v>
      </c>
      <c r="C90">
        <f>IF(tips!D90="Dinner",1,2)</f>
        <v>2</v>
      </c>
      <c r="D90">
        <f>IF(tips!C90="Sun",1,IF(tips!C90="Fri",2,IF(tips!C90="Sat",3,IF(tips!C90="Thur",4))))</f>
        <v>4</v>
      </c>
      <c r="E90" s="2">
        <v>2</v>
      </c>
      <c r="F90" s="2">
        <v>24.71</v>
      </c>
      <c r="G90" s="8">
        <v>5.85</v>
      </c>
      <c r="H90" s="2"/>
      <c r="I90" s="3">
        <v>0.75944339705833919</v>
      </c>
      <c r="J90" s="3">
        <f t="shared" si="9"/>
        <v>3.7183538040686311E-2</v>
      </c>
      <c r="K90" s="3">
        <f t="shared" si="10"/>
        <v>-7.3687758526173666E-2</v>
      </c>
      <c r="L90" s="3">
        <f t="shared" si="11"/>
        <v>0.17745552547297233</v>
      </c>
      <c r="M90" s="3">
        <f t="shared" si="12"/>
        <v>-0.2139953712402721</v>
      </c>
      <c r="N90" s="3">
        <f t="shared" si="13"/>
        <v>0.34786623214719364</v>
      </c>
      <c r="O90" s="3">
        <f t="shared" si="14"/>
        <v>2.3319822858559371</v>
      </c>
      <c r="P90" s="8">
        <f t="shared" si="15"/>
        <v>3.3662478488086824</v>
      </c>
      <c r="Q90" s="2">
        <f t="shared" si="16"/>
        <v>2.4837521511913172</v>
      </c>
      <c r="R90">
        <f t="shared" si="17"/>
        <v>6.1690247485474963</v>
      </c>
    </row>
    <row r="91" spans="1:18" x14ac:dyDescent="0.2">
      <c r="A91">
        <f>IF(tips!A91="Male",1,2)</f>
        <v>1</v>
      </c>
      <c r="B91">
        <f>IF(tips!B91="No",1,2)</f>
        <v>1</v>
      </c>
      <c r="C91">
        <f>IF(tips!D91="Dinner",1,2)</f>
        <v>2</v>
      </c>
      <c r="D91">
        <f>IF(tips!C91="Sun",1,IF(tips!C91="Fri",2,IF(tips!C91="Sat",3,IF(tips!C91="Thur",4))))</f>
        <v>4</v>
      </c>
      <c r="E91" s="2">
        <v>2</v>
      </c>
      <c r="F91" s="2">
        <v>21.16</v>
      </c>
      <c r="G91" s="8">
        <v>3</v>
      </c>
      <c r="H91" s="2"/>
      <c r="I91" s="3">
        <v>0.75944339705833919</v>
      </c>
      <c r="J91" s="3">
        <f t="shared" si="9"/>
        <v>3.7183538040686311E-2</v>
      </c>
      <c r="K91" s="3">
        <f t="shared" si="10"/>
        <v>-7.3687758526173666E-2</v>
      </c>
      <c r="L91" s="3">
        <f t="shared" si="11"/>
        <v>0.17745552547297233</v>
      </c>
      <c r="M91" s="3">
        <f t="shared" si="12"/>
        <v>-0.2139953712402721</v>
      </c>
      <c r="N91" s="3">
        <f t="shared" si="13"/>
        <v>0.34786623214719364</v>
      </c>
      <c r="O91" s="3">
        <f t="shared" si="14"/>
        <v>1.9969544787014015</v>
      </c>
      <c r="P91" s="8">
        <f t="shared" si="15"/>
        <v>3.031220041654147</v>
      </c>
      <c r="Q91" s="2">
        <f t="shared" si="16"/>
        <v>-3.1220041654147046E-2</v>
      </c>
      <c r="R91">
        <f t="shared" si="17"/>
        <v>9.7469100088667666E-4</v>
      </c>
    </row>
    <row r="92" spans="1:18" x14ac:dyDescent="0.2">
      <c r="A92">
        <f>IF(tips!A92="Male",1,2)</f>
        <v>1</v>
      </c>
      <c r="B92">
        <f>IF(tips!B92="No",1,2)</f>
        <v>2</v>
      </c>
      <c r="C92">
        <f>IF(tips!D92="Dinner",1,2)</f>
        <v>1</v>
      </c>
      <c r="D92">
        <f>IF(tips!C92="Sun",1,IF(tips!C92="Fri",2,IF(tips!C92="Sat",3,IF(tips!C92="Thur",4))))</f>
        <v>2</v>
      </c>
      <c r="E92" s="2">
        <v>2</v>
      </c>
      <c r="F92" s="2">
        <v>28.97</v>
      </c>
      <c r="G92" s="8">
        <v>3</v>
      </c>
      <c r="H92" s="2"/>
      <c r="I92" s="3">
        <v>0.75944339705833919</v>
      </c>
      <c r="J92" s="3">
        <f t="shared" si="9"/>
        <v>3.7183538040686311E-2</v>
      </c>
      <c r="K92" s="3">
        <f t="shared" si="10"/>
        <v>-0.14737551705234733</v>
      </c>
      <c r="L92" s="3">
        <f t="shared" si="11"/>
        <v>8.8727762736486165E-2</v>
      </c>
      <c r="M92" s="3">
        <f t="shared" si="12"/>
        <v>-0.10699768562013605</v>
      </c>
      <c r="N92" s="3">
        <f t="shared" si="13"/>
        <v>0.34786623214719364</v>
      </c>
      <c r="O92" s="3">
        <f t="shared" si="14"/>
        <v>2.7340156544413796</v>
      </c>
      <c r="P92" s="8">
        <f t="shared" si="15"/>
        <v>3.7128633817516015</v>
      </c>
      <c r="Q92" s="2">
        <f t="shared" si="16"/>
        <v>-0.71286338175160147</v>
      </c>
      <c r="R92">
        <f t="shared" si="17"/>
        <v>0.50817420104232947</v>
      </c>
    </row>
    <row r="93" spans="1:18" x14ac:dyDescent="0.2">
      <c r="A93">
        <f>IF(tips!A93="Male",1,2)</f>
        <v>1</v>
      </c>
      <c r="B93">
        <f>IF(tips!B93="No",1,2)</f>
        <v>1</v>
      </c>
      <c r="C93">
        <f>IF(tips!D93="Dinner",1,2)</f>
        <v>1</v>
      </c>
      <c r="D93">
        <f>IF(tips!C93="Sun",1,IF(tips!C93="Fri",2,IF(tips!C93="Sat",3,IF(tips!C93="Thur",4))))</f>
        <v>2</v>
      </c>
      <c r="E93" s="2">
        <v>2</v>
      </c>
      <c r="F93" s="2">
        <v>22.49</v>
      </c>
      <c r="G93" s="8">
        <v>3.5</v>
      </c>
      <c r="H93" s="2"/>
      <c r="I93" s="3">
        <v>0.75944339705833919</v>
      </c>
      <c r="J93" s="3">
        <f t="shared" si="9"/>
        <v>3.7183538040686311E-2</v>
      </c>
      <c r="K93" s="3">
        <f t="shared" si="10"/>
        <v>-7.3687758526173666E-2</v>
      </c>
      <c r="L93" s="3">
        <f t="shared" si="11"/>
        <v>8.8727762736486165E-2</v>
      </c>
      <c r="M93" s="3">
        <f t="shared" si="12"/>
        <v>-0.10699768562013605</v>
      </c>
      <c r="N93" s="3">
        <f t="shared" si="13"/>
        <v>0.34786623214719364</v>
      </c>
      <c r="O93" s="3">
        <f t="shared" si="14"/>
        <v>2.1224719388466218</v>
      </c>
      <c r="P93" s="8">
        <f t="shared" si="15"/>
        <v>3.1750074246830176</v>
      </c>
      <c r="Q93" s="2">
        <f t="shared" si="16"/>
        <v>0.32499257531698245</v>
      </c>
      <c r="R93">
        <f t="shared" si="17"/>
        <v>0.10562017401116451</v>
      </c>
    </row>
    <row r="94" spans="1:18" x14ac:dyDescent="0.2">
      <c r="A94">
        <f>IF(tips!A94="Male",1,2)</f>
        <v>2</v>
      </c>
      <c r="B94">
        <f>IF(tips!B94="No",1,2)</f>
        <v>2</v>
      </c>
      <c r="C94">
        <f>IF(tips!D94="Dinner",1,2)</f>
        <v>1</v>
      </c>
      <c r="D94">
        <f>IF(tips!C94="Sun",1,IF(tips!C94="Fri",2,IF(tips!C94="Sat",3,IF(tips!C94="Thur",4))))</f>
        <v>2</v>
      </c>
      <c r="E94" s="2">
        <v>2</v>
      </c>
      <c r="F94" s="2">
        <v>5.75</v>
      </c>
      <c r="G94" s="8">
        <v>1</v>
      </c>
      <c r="H94" s="2"/>
      <c r="I94" s="3">
        <v>0.75944339705833919</v>
      </c>
      <c r="J94" s="3">
        <f t="shared" si="9"/>
        <v>7.4367076081372621E-2</v>
      </c>
      <c r="K94" s="3">
        <f t="shared" si="10"/>
        <v>-0.14737551705234733</v>
      </c>
      <c r="L94" s="3">
        <f t="shared" si="11"/>
        <v>8.8727762736486165E-2</v>
      </c>
      <c r="M94" s="3">
        <f t="shared" si="12"/>
        <v>-0.10699768562013605</v>
      </c>
      <c r="N94" s="3">
        <f t="shared" si="13"/>
        <v>0.34786623214719364</v>
      </c>
      <c r="O94" s="3">
        <f t="shared" si="14"/>
        <v>0.54265067356016339</v>
      </c>
      <c r="P94" s="8">
        <f t="shared" si="15"/>
        <v>1.5586819389110715</v>
      </c>
      <c r="Q94" s="2">
        <f t="shared" si="16"/>
        <v>-0.55868193891107154</v>
      </c>
      <c r="R94">
        <f t="shared" si="17"/>
        <v>0.31212550886543428</v>
      </c>
    </row>
    <row r="95" spans="1:18" x14ac:dyDescent="0.2">
      <c r="A95">
        <f>IF(tips!A95="Male",1,2)</f>
        <v>2</v>
      </c>
      <c r="B95">
        <f>IF(tips!B95="No",1,2)</f>
        <v>2</v>
      </c>
      <c r="C95">
        <f>IF(tips!D95="Dinner",1,2)</f>
        <v>1</v>
      </c>
      <c r="D95">
        <f>IF(tips!C95="Sun",1,IF(tips!C95="Fri",2,IF(tips!C95="Sat",3,IF(tips!C95="Thur",4))))</f>
        <v>2</v>
      </c>
      <c r="E95" s="2">
        <v>2</v>
      </c>
      <c r="F95" s="2">
        <v>16.32</v>
      </c>
      <c r="G95" s="8">
        <v>4.3</v>
      </c>
      <c r="H95" s="2"/>
      <c r="I95" s="3">
        <v>0.75944339705833919</v>
      </c>
      <c r="J95" s="3">
        <f t="shared" si="9"/>
        <v>7.4367076081372621E-2</v>
      </c>
      <c r="K95" s="3">
        <f t="shared" si="10"/>
        <v>-0.14737551705234733</v>
      </c>
      <c r="L95" s="3">
        <f t="shared" si="11"/>
        <v>8.8727762736486165E-2</v>
      </c>
      <c r="M95" s="3">
        <f t="shared" si="12"/>
        <v>-0.10699768562013605</v>
      </c>
      <c r="N95" s="3">
        <f t="shared" si="13"/>
        <v>0.34786623214719364</v>
      </c>
      <c r="O95" s="3">
        <f t="shared" si="14"/>
        <v>1.5401841726090204</v>
      </c>
      <c r="P95" s="8">
        <f t="shared" si="15"/>
        <v>2.5562154379599287</v>
      </c>
      <c r="Q95" s="2">
        <f t="shared" si="16"/>
        <v>1.7437845620400712</v>
      </c>
      <c r="R95">
        <f t="shared" si="17"/>
        <v>3.0407845988092825</v>
      </c>
    </row>
    <row r="96" spans="1:18" x14ac:dyDescent="0.2">
      <c r="A96">
        <f>IF(tips!A96="Male",1,2)</f>
        <v>2</v>
      </c>
      <c r="B96">
        <f>IF(tips!B96="No",1,2)</f>
        <v>1</v>
      </c>
      <c r="C96">
        <f>IF(tips!D96="Dinner",1,2)</f>
        <v>1</v>
      </c>
      <c r="D96">
        <f>IF(tips!C96="Sun",1,IF(tips!C96="Fri",2,IF(tips!C96="Sat",3,IF(tips!C96="Thur",4))))</f>
        <v>2</v>
      </c>
      <c r="E96" s="2">
        <v>2</v>
      </c>
      <c r="F96" s="2">
        <v>22.75</v>
      </c>
      <c r="G96" s="8">
        <v>3.25</v>
      </c>
      <c r="H96" s="2"/>
      <c r="I96" s="3">
        <v>0.75944339705833919</v>
      </c>
      <c r="J96" s="3">
        <f t="shared" si="9"/>
        <v>7.4367076081372621E-2</v>
      </c>
      <c r="K96" s="3">
        <f t="shared" si="10"/>
        <v>-7.3687758526173666E-2</v>
      </c>
      <c r="L96" s="3">
        <f t="shared" si="11"/>
        <v>8.8727762736486165E-2</v>
      </c>
      <c r="M96" s="3">
        <f t="shared" si="12"/>
        <v>-0.10699768562013605</v>
      </c>
      <c r="N96" s="3">
        <f t="shared" si="13"/>
        <v>0.34786623214719364</v>
      </c>
      <c r="O96" s="3">
        <f t="shared" si="14"/>
        <v>2.1470091866945595</v>
      </c>
      <c r="P96" s="8">
        <f t="shared" si="15"/>
        <v>3.2367282105716413</v>
      </c>
      <c r="Q96" s="2">
        <f t="shared" si="16"/>
        <v>1.3271789428358716E-2</v>
      </c>
      <c r="R96">
        <f t="shared" si="17"/>
        <v>1.7614039463069418E-4</v>
      </c>
    </row>
    <row r="97" spans="1:18" x14ac:dyDescent="0.2">
      <c r="A97">
        <f>IF(tips!A97="Male",1,2)</f>
        <v>1</v>
      </c>
      <c r="B97">
        <f>IF(tips!B97="No",1,2)</f>
        <v>2</v>
      </c>
      <c r="C97">
        <f>IF(tips!D97="Dinner",1,2)</f>
        <v>1</v>
      </c>
      <c r="D97">
        <f>IF(tips!C97="Sun",1,IF(tips!C97="Fri",2,IF(tips!C97="Sat",3,IF(tips!C97="Thur",4))))</f>
        <v>2</v>
      </c>
      <c r="E97" s="2">
        <v>4</v>
      </c>
      <c r="F97" s="2">
        <v>40.17</v>
      </c>
      <c r="G97" s="8">
        <v>4.7300000000000004</v>
      </c>
      <c r="H97" s="2"/>
      <c r="I97" s="3">
        <v>0.75944339705833919</v>
      </c>
      <c r="J97" s="3">
        <f t="shared" si="9"/>
        <v>3.7183538040686311E-2</v>
      </c>
      <c r="K97" s="3">
        <f t="shared" si="10"/>
        <v>-0.14737551705234733</v>
      </c>
      <c r="L97" s="3">
        <f t="shared" si="11"/>
        <v>8.8727762736486165E-2</v>
      </c>
      <c r="M97" s="3">
        <f t="shared" si="12"/>
        <v>-0.10699768562013605</v>
      </c>
      <c r="N97" s="3">
        <f t="shared" si="13"/>
        <v>0.69573246429438729</v>
      </c>
      <c r="O97" s="3">
        <f t="shared" si="14"/>
        <v>3.7910047925063939</v>
      </c>
      <c r="P97" s="8">
        <f t="shared" si="15"/>
        <v>5.1177187519638094</v>
      </c>
      <c r="Q97" s="2">
        <f t="shared" si="16"/>
        <v>-0.38771875196380901</v>
      </c>
      <c r="R97">
        <f t="shared" si="17"/>
        <v>0.15032583062437366</v>
      </c>
    </row>
    <row r="98" spans="1:18" x14ac:dyDescent="0.2">
      <c r="A98">
        <f>IF(tips!A98="Male",1,2)</f>
        <v>1</v>
      </c>
      <c r="B98">
        <f>IF(tips!B98="No",1,2)</f>
        <v>2</v>
      </c>
      <c r="C98">
        <f>IF(tips!D98="Dinner",1,2)</f>
        <v>1</v>
      </c>
      <c r="D98">
        <f>IF(tips!C98="Sun",1,IF(tips!C98="Fri",2,IF(tips!C98="Sat",3,IF(tips!C98="Thur",4))))</f>
        <v>2</v>
      </c>
      <c r="E98" s="2">
        <v>2</v>
      </c>
      <c r="F98" s="2">
        <v>27.28</v>
      </c>
      <c r="G98" s="8">
        <v>4</v>
      </c>
      <c r="H98" s="2"/>
      <c r="I98" s="3">
        <v>0.75944339705833919</v>
      </c>
      <c r="J98" s="3">
        <f t="shared" si="9"/>
        <v>3.7183538040686311E-2</v>
      </c>
      <c r="K98" s="3">
        <f t="shared" si="10"/>
        <v>-0.14737551705234733</v>
      </c>
      <c r="L98" s="3">
        <f t="shared" si="11"/>
        <v>8.8727762736486165E-2</v>
      </c>
      <c r="M98" s="3">
        <f t="shared" si="12"/>
        <v>-0.10699768562013605</v>
      </c>
      <c r="N98" s="3">
        <f t="shared" si="13"/>
        <v>0.34786623214719364</v>
      </c>
      <c r="O98" s="3">
        <f t="shared" si="14"/>
        <v>2.574523543429784</v>
      </c>
      <c r="P98" s="8">
        <f t="shared" si="15"/>
        <v>3.5533712707400058</v>
      </c>
      <c r="Q98" s="2">
        <f t="shared" si="16"/>
        <v>0.44662872925999419</v>
      </c>
      <c r="R98">
        <f t="shared" si="17"/>
        <v>0.1994772218003972</v>
      </c>
    </row>
    <row r="99" spans="1:18" x14ac:dyDescent="0.2">
      <c r="A99">
        <f>IF(tips!A99="Male",1,2)</f>
        <v>1</v>
      </c>
      <c r="B99">
        <f>IF(tips!B99="No",1,2)</f>
        <v>2</v>
      </c>
      <c r="C99">
        <f>IF(tips!D99="Dinner",1,2)</f>
        <v>1</v>
      </c>
      <c r="D99">
        <f>IF(tips!C99="Sun",1,IF(tips!C99="Fri",2,IF(tips!C99="Sat",3,IF(tips!C99="Thur",4))))</f>
        <v>2</v>
      </c>
      <c r="E99" s="2">
        <v>2</v>
      </c>
      <c r="F99" s="2">
        <v>12.03</v>
      </c>
      <c r="G99" s="8">
        <v>1.5</v>
      </c>
      <c r="H99" s="2"/>
      <c r="I99" s="3">
        <v>0.75944339705833919</v>
      </c>
      <c r="J99" s="3">
        <f t="shared" si="9"/>
        <v>3.7183538040686311E-2</v>
      </c>
      <c r="K99" s="3">
        <f t="shared" si="10"/>
        <v>-0.14737551705234733</v>
      </c>
      <c r="L99" s="3">
        <f t="shared" si="11"/>
        <v>8.8727762736486165E-2</v>
      </c>
      <c r="M99" s="3">
        <f t="shared" si="12"/>
        <v>-0.10699768562013605</v>
      </c>
      <c r="N99" s="3">
        <f t="shared" si="13"/>
        <v>0.34786623214719364</v>
      </c>
      <c r="O99" s="3">
        <f t="shared" si="14"/>
        <v>1.1353195831180463</v>
      </c>
      <c r="P99" s="8">
        <f t="shared" si="15"/>
        <v>2.1141673104282681</v>
      </c>
      <c r="Q99" s="2">
        <f t="shared" si="16"/>
        <v>-0.61416731042826811</v>
      </c>
      <c r="R99">
        <f t="shared" si="17"/>
        <v>0.37720148519869262</v>
      </c>
    </row>
    <row r="100" spans="1:18" x14ac:dyDescent="0.2">
      <c r="A100">
        <f>IF(tips!A100="Male",1,2)</f>
        <v>1</v>
      </c>
      <c r="B100">
        <f>IF(tips!B100="No",1,2)</f>
        <v>2</v>
      </c>
      <c r="C100">
        <f>IF(tips!D100="Dinner",1,2)</f>
        <v>1</v>
      </c>
      <c r="D100">
        <f>IF(tips!C100="Sun",1,IF(tips!C100="Fri",2,IF(tips!C100="Sat",3,IF(tips!C100="Thur",4))))</f>
        <v>2</v>
      </c>
      <c r="E100" s="2">
        <v>2</v>
      </c>
      <c r="F100" s="2">
        <v>21.01</v>
      </c>
      <c r="G100" s="8">
        <v>3</v>
      </c>
      <c r="H100" s="2"/>
      <c r="I100" s="3">
        <v>0.75944339705833919</v>
      </c>
      <c r="J100" s="3">
        <f t="shared" si="9"/>
        <v>3.7183538040686311E-2</v>
      </c>
      <c r="K100" s="3">
        <f t="shared" si="10"/>
        <v>-0.14737551705234733</v>
      </c>
      <c r="L100" s="3">
        <f t="shared" si="11"/>
        <v>8.8727762736486165E-2</v>
      </c>
      <c r="M100" s="3">
        <f t="shared" si="12"/>
        <v>-0.10699768562013605</v>
      </c>
      <c r="N100" s="3">
        <f t="shared" si="13"/>
        <v>0.34786623214719364</v>
      </c>
      <c r="O100" s="3">
        <f t="shared" si="14"/>
        <v>1.9827983741737452</v>
      </c>
      <c r="P100" s="8">
        <f t="shared" si="15"/>
        <v>2.961646101483967</v>
      </c>
      <c r="Q100" s="2">
        <f t="shared" si="16"/>
        <v>3.8353898516032991E-2</v>
      </c>
      <c r="R100">
        <f t="shared" si="17"/>
        <v>1.4710215313781577E-3</v>
      </c>
    </row>
    <row r="101" spans="1:18" x14ac:dyDescent="0.2">
      <c r="A101">
        <f>IF(tips!A101="Male",1,2)</f>
        <v>1</v>
      </c>
      <c r="B101">
        <f>IF(tips!B101="No",1,2)</f>
        <v>1</v>
      </c>
      <c r="C101">
        <f>IF(tips!D101="Dinner",1,2)</f>
        <v>1</v>
      </c>
      <c r="D101">
        <f>IF(tips!C101="Sun",1,IF(tips!C101="Fri",2,IF(tips!C101="Sat",3,IF(tips!C101="Thur",4))))</f>
        <v>2</v>
      </c>
      <c r="E101" s="2">
        <v>2</v>
      </c>
      <c r="F101" s="2">
        <v>12.46</v>
      </c>
      <c r="G101" s="8">
        <v>1.5</v>
      </c>
      <c r="H101" s="2"/>
      <c r="I101" s="3">
        <v>0.75944339705833919</v>
      </c>
      <c r="J101" s="3">
        <f t="shared" si="9"/>
        <v>3.7183538040686311E-2</v>
      </c>
      <c r="K101" s="3">
        <f t="shared" si="10"/>
        <v>-7.3687758526173666E-2</v>
      </c>
      <c r="L101" s="3">
        <f t="shared" si="11"/>
        <v>8.8727762736486165E-2</v>
      </c>
      <c r="M101" s="3">
        <f t="shared" si="12"/>
        <v>-0.10699768562013605</v>
      </c>
      <c r="N101" s="3">
        <f t="shared" si="13"/>
        <v>0.34786623214719364</v>
      </c>
      <c r="O101" s="3">
        <f t="shared" si="14"/>
        <v>1.1759004160973281</v>
      </c>
      <c r="P101" s="8">
        <f t="shared" si="15"/>
        <v>2.2284359019337234</v>
      </c>
      <c r="Q101" s="2">
        <f t="shared" si="16"/>
        <v>-0.72843590193372343</v>
      </c>
      <c r="R101">
        <f t="shared" si="17"/>
        <v>0.53061886322599716</v>
      </c>
    </row>
    <row r="102" spans="1:18" x14ac:dyDescent="0.2">
      <c r="A102">
        <f>IF(tips!A102="Male",1,2)</f>
        <v>2</v>
      </c>
      <c r="B102">
        <f>IF(tips!B102="No",1,2)</f>
        <v>2</v>
      </c>
      <c r="C102">
        <f>IF(tips!D102="Dinner",1,2)</f>
        <v>1</v>
      </c>
      <c r="D102">
        <f>IF(tips!C102="Sun",1,IF(tips!C102="Fri",2,IF(tips!C102="Sat",3,IF(tips!C102="Thur",4))))</f>
        <v>2</v>
      </c>
      <c r="E102" s="2">
        <v>2</v>
      </c>
      <c r="F102" s="2">
        <v>11.35</v>
      </c>
      <c r="G102" s="8">
        <v>2.5</v>
      </c>
      <c r="H102" s="2"/>
      <c r="I102" s="3">
        <v>0.75944339705833919</v>
      </c>
      <c r="J102" s="3">
        <f t="shared" si="9"/>
        <v>7.4367076081372621E-2</v>
      </c>
      <c r="K102" s="3">
        <f t="shared" si="10"/>
        <v>-0.14737551705234733</v>
      </c>
      <c r="L102" s="3">
        <f t="shared" si="11"/>
        <v>8.8727762736486165E-2</v>
      </c>
      <c r="M102" s="3">
        <f t="shared" si="12"/>
        <v>-0.10699768562013605</v>
      </c>
      <c r="N102" s="3">
        <f t="shared" si="13"/>
        <v>0.34786623214719364</v>
      </c>
      <c r="O102" s="3">
        <f t="shared" si="14"/>
        <v>1.0711452425926704</v>
      </c>
      <c r="P102" s="8">
        <f t="shared" si="15"/>
        <v>2.0871765079435787</v>
      </c>
      <c r="Q102" s="2">
        <f t="shared" si="16"/>
        <v>0.41282349205642133</v>
      </c>
      <c r="R102">
        <f t="shared" si="17"/>
        <v>0.17042323559365816</v>
      </c>
    </row>
    <row r="103" spans="1:18" x14ac:dyDescent="0.2">
      <c r="A103">
        <f>IF(tips!A103="Male",1,2)</f>
        <v>2</v>
      </c>
      <c r="B103">
        <f>IF(tips!B103="No",1,2)</f>
        <v>2</v>
      </c>
      <c r="C103">
        <f>IF(tips!D103="Dinner",1,2)</f>
        <v>1</v>
      </c>
      <c r="D103">
        <f>IF(tips!C103="Sun",1,IF(tips!C103="Fri",2,IF(tips!C103="Sat",3,IF(tips!C103="Thur",4))))</f>
        <v>2</v>
      </c>
      <c r="E103" s="2">
        <v>2</v>
      </c>
      <c r="F103" s="2">
        <v>15.38</v>
      </c>
      <c r="G103" s="8">
        <v>3</v>
      </c>
      <c r="H103" s="2"/>
      <c r="I103" s="3">
        <v>0.75944339705833919</v>
      </c>
      <c r="J103" s="3">
        <f t="shared" si="9"/>
        <v>7.4367076081372621E-2</v>
      </c>
      <c r="K103" s="3">
        <f t="shared" si="10"/>
        <v>-0.14737551705234733</v>
      </c>
      <c r="L103" s="3">
        <f t="shared" si="11"/>
        <v>8.8727762736486165E-2</v>
      </c>
      <c r="M103" s="3">
        <f t="shared" si="12"/>
        <v>-0.10699768562013605</v>
      </c>
      <c r="N103" s="3">
        <f t="shared" si="13"/>
        <v>0.34786623214719364</v>
      </c>
      <c r="O103" s="3">
        <f t="shared" si="14"/>
        <v>1.4514725842357068</v>
      </c>
      <c r="P103" s="8">
        <f t="shared" si="15"/>
        <v>2.4675038495866151</v>
      </c>
      <c r="Q103" s="2">
        <f t="shared" si="16"/>
        <v>0.53249615041338494</v>
      </c>
      <c r="R103">
        <f t="shared" si="17"/>
        <v>0.28355215020507429</v>
      </c>
    </row>
    <row r="104" spans="1:18" x14ac:dyDescent="0.2">
      <c r="A104">
        <f>IF(tips!A104="Male",1,2)</f>
        <v>2</v>
      </c>
      <c r="B104">
        <f>IF(tips!B104="No",1,2)</f>
        <v>2</v>
      </c>
      <c r="C104">
        <f>IF(tips!D104="Dinner",1,2)</f>
        <v>1</v>
      </c>
      <c r="D104">
        <f>IF(tips!C104="Sun",1,IF(tips!C104="Fri",2,IF(tips!C104="Sat",3,IF(tips!C104="Thur",4))))</f>
        <v>3</v>
      </c>
      <c r="E104" s="2">
        <v>3</v>
      </c>
      <c r="F104" s="2">
        <v>44.3</v>
      </c>
      <c r="G104" s="8">
        <v>2.5</v>
      </c>
      <c r="H104" s="2"/>
      <c r="I104" s="3">
        <v>0.75944339705833919</v>
      </c>
      <c r="J104" s="3">
        <f t="shared" si="9"/>
        <v>7.4367076081372621E-2</v>
      </c>
      <c r="K104" s="3">
        <f t="shared" si="10"/>
        <v>-0.14737551705234733</v>
      </c>
      <c r="L104" s="3">
        <f t="shared" si="11"/>
        <v>8.8727762736486165E-2</v>
      </c>
      <c r="M104" s="3">
        <f t="shared" si="12"/>
        <v>-0.16049652843020407</v>
      </c>
      <c r="N104" s="3">
        <f t="shared" si="13"/>
        <v>0.52179934822079044</v>
      </c>
      <c r="O104" s="3">
        <f t="shared" si="14"/>
        <v>4.1807695371678673</v>
      </c>
      <c r="P104" s="8">
        <f t="shared" si="15"/>
        <v>5.3172350757823041</v>
      </c>
      <c r="Q104" s="2">
        <f t="shared" si="16"/>
        <v>-2.8172350757823041</v>
      </c>
      <c r="R104">
        <f t="shared" si="17"/>
        <v>7.9368134722181249</v>
      </c>
    </row>
    <row r="105" spans="1:18" x14ac:dyDescent="0.2">
      <c r="A105">
        <f>IF(tips!A105="Male",1,2)</f>
        <v>2</v>
      </c>
      <c r="B105">
        <f>IF(tips!B105="No",1,2)</f>
        <v>2</v>
      </c>
      <c r="C105">
        <f>IF(tips!D105="Dinner",1,2)</f>
        <v>1</v>
      </c>
      <c r="D105">
        <f>IF(tips!C105="Sun",1,IF(tips!C105="Fri",2,IF(tips!C105="Sat",3,IF(tips!C105="Thur",4))))</f>
        <v>3</v>
      </c>
      <c r="E105" s="2">
        <v>2</v>
      </c>
      <c r="F105" s="2">
        <v>22.42</v>
      </c>
      <c r="G105" s="8">
        <v>3.48</v>
      </c>
      <c r="H105" s="2"/>
      <c r="I105" s="3">
        <v>0.75944339705833919</v>
      </c>
      <c r="J105" s="3">
        <f t="shared" si="9"/>
        <v>7.4367076081372621E-2</v>
      </c>
      <c r="K105" s="3">
        <f t="shared" si="10"/>
        <v>-0.14737551705234733</v>
      </c>
      <c r="L105" s="3">
        <f t="shared" si="11"/>
        <v>8.8727762736486165E-2</v>
      </c>
      <c r="M105" s="3">
        <f t="shared" si="12"/>
        <v>-0.16049652843020407</v>
      </c>
      <c r="N105" s="3">
        <f t="shared" si="13"/>
        <v>0.34786623214719364</v>
      </c>
      <c r="O105" s="3">
        <f t="shared" si="14"/>
        <v>2.1158657567337156</v>
      </c>
      <c r="P105" s="8">
        <f t="shared" si="15"/>
        <v>3.0783981792745561</v>
      </c>
      <c r="Q105" s="2">
        <f t="shared" si="16"/>
        <v>0.40160182072544393</v>
      </c>
      <c r="R105">
        <f t="shared" si="17"/>
        <v>0.1612840224099916</v>
      </c>
    </row>
    <row r="106" spans="1:18" x14ac:dyDescent="0.2">
      <c r="A106">
        <f>IF(tips!A106="Male",1,2)</f>
        <v>2</v>
      </c>
      <c r="B106">
        <f>IF(tips!B106="No",1,2)</f>
        <v>1</v>
      </c>
      <c r="C106">
        <f>IF(tips!D106="Dinner",1,2)</f>
        <v>1</v>
      </c>
      <c r="D106">
        <f>IF(tips!C106="Sun",1,IF(tips!C106="Fri",2,IF(tips!C106="Sat",3,IF(tips!C106="Thur",4))))</f>
        <v>3</v>
      </c>
      <c r="E106" s="2">
        <v>2</v>
      </c>
      <c r="F106" s="2">
        <v>20.92</v>
      </c>
      <c r="G106" s="8">
        <v>4.08</v>
      </c>
      <c r="H106" s="2"/>
      <c r="I106" s="3">
        <v>0.75944339705833919</v>
      </c>
      <c r="J106" s="3">
        <f t="shared" si="9"/>
        <v>7.4367076081372621E-2</v>
      </c>
      <c r="K106" s="3">
        <f t="shared" si="10"/>
        <v>-7.3687758526173666E-2</v>
      </c>
      <c r="L106" s="3">
        <f t="shared" si="11"/>
        <v>8.8727762736486165E-2</v>
      </c>
      <c r="M106" s="3">
        <f t="shared" si="12"/>
        <v>-0.16049652843020407</v>
      </c>
      <c r="N106" s="3">
        <f t="shared" si="13"/>
        <v>0.34786623214719364</v>
      </c>
      <c r="O106" s="3">
        <f t="shared" si="14"/>
        <v>1.9743047114571513</v>
      </c>
      <c r="P106" s="8">
        <f t="shared" si="15"/>
        <v>3.010524892524165</v>
      </c>
      <c r="Q106" s="2">
        <f t="shared" si="16"/>
        <v>1.0694751074758351</v>
      </c>
      <c r="R106">
        <f t="shared" si="17"/>
        <v>1.143777005510449</v>
      </c>
    </row>
    <row r="107" spans="1:18" x14ac:dyDescent="0.2">
      <c r="A107">
        <f>IF(tips!A107="Male",1,2)</f>
        <v>1</v>
      </c>
      <c r="B107">
        <f>IF(tips!B107="No",1,2)</f>
        <v>2</v>
      </c>
      <c r="C107">
        <f>IF(tips!D107="Dinner",1,2)</f>
        <v>1</v>
      </c>
      <c r="D107">
        <f>IF(tips!C107="Sun",1,IF(tips!C107="Fri",2,IF(tips!C107="Sat",3,IF(tips!C107="Thur",4))))</f>
        <v>3</v>
      </c>
      <c r="E107" s="2">
        <v>2</v>
      </c>
      <c r="F107" s="2">
        <v>15.36</v>
      </c>
      <c r="G107" s="8">
        <v>1.64</v>
      </c>
      <c r="H107" s="2"/>
      <c r="I107" s="3">
        <v>0.75944339705833919</v>
      </c>
      <c r="J107" s="3">
        <f t="shared" si="9"/>
        <v>3.7183538040686311E-2</v>
      </c>
      <c r="K107" s="3">
        <f t="shared" si="10"/>
        <v>-0.14737551705234733</v>
      </c>
      <c r="L107" s="3">
        <f t="shared" si="11"/>
        <v>8.8727762736486165E-2</v>
      </c>
      <c r="M107" s="3">
        <f t="shared" si="12"/>
        <v>-0.16049652843020407</v>
      </c>
      <c r="N107" s="3">
        <f t="shared" si="13"/>
        <v>0.34786623214719364</v>
      </c>
      <c r="O107" s="3">
        <f t="shared" si="14"/>
        <v>1.4495851036320191</v>
      </c>
      <c r="P107" s="8">
        <f t="shared" si="15"/>
        <v>2.3749339881321729</v>
      </c>
      <c r="Q107" s="2">
        <f t="shared" si="16"/>
        <v>-0.73493398813217303</v>
      </c>
      <c r="R107">
        <f t="shared" si="17"/>
        <v>0.54012796691186105</v>
      </c>
    </row>
    <row r="108" spans="1:18" x14ac:dyDescent="0.2">
      <c r="A108">
        <f>IF(tips!A108="Male",1,2)</f>
        <v>1</v>
      </c>
      <c r="B108">
        <f>IF(tips!B108="No",1,2)</f>
        <v>2</v>
      </c>
      <c r="C108">
        <f>IF(tips!D108="Dinner",1,2)</f>
        <v>1</v>
      </c>
      <c r="D108">
        <f>IF(tips!C108="Sun",1,IF(tips!C108="Fri",2,IF(tips!C108="Sat",3,IF(tips!C108="Thur",4))))</f>
        <v>3</v>
      </c>
      <c r="E108" s="2">
        <v>2</v>
      </c>
      <c r="F108" s="2">
        <v>20.49</v>
      </c>
      <c r="G108" s="8">
        <v>4.0599999999999996</v>
      </c>
      <c r="H108" s="2"/>
      <c r="I108" s="3">
        <v>0.75944339705833919</v>
      </c>
      <c r="J108" s="3">
        <f t="shared" si="9"/>
        <v>3.7183538040686311E-2</v>
      </c>
      <c r="K108" s="3">
        <f t="shared" si="10"/>
        <v>-0.14737551705234733</v>
      </c>
      <c r="L108" s="3">
        <f t="shared" si="11"/>
        <v>8.8727762736486165E-2</v>
      </c>
      <c r="M108" s="3">
        <f t="shared" si="12"/>
        <v>-0.16049652843020407</v>
      </c>
      <c r="N108" s="3">
        <f t="shared" si="13"/>
        <v>0.34786623214719364</v>
      </c>
      <c r="O108" s="3">
        <f t="shared" si="14"/>
        <v>1.9337238784778692</v>
      </c>
      <c r="P108" s="8">
        <f t="shared" si="15"/>
        <v>2.8590727629780233</v>
      </c>
      <c r="Q108" s="2">
        <f t="shared" si="16"/>
        <v>1.2009272370219763</v>
      </c>
      <c r="R108">
        <f t="shared" si="17"/>
        <v>1.4422262286212382</v>
      </c>
    </row>
    <row r="109" spans="1:18" x14ac:dyDescent="0.2">
      <c r="A109">
        <f>IF(tips!A109="Male",1,2)</f>
        <v>1</v>
      </c>
      <c r="B109">
        <f>IF(tips!B109="No",1,2)</f>
        <v>2</v>
      </c>
      <c r="C109">
        <f>IF(tips!D109="Dinner",1,2)</f>
        <v>1</v>
      </c>
      <c r="D109">
        <f>IF(tips!C109="Sun",1,IF(tips!C109="Fri",2,IF(tips!C109="Sat",3,IF(tips!C109="Thur",4))))</f>
        <v>3</v>
      </c>
      <c r="E109" s="2">
        <v>2</v>
      </c>
      <c r="F109" s="2">
        <v>25.21</v>
      </c>
      <c r="G109" s="8">
        <v>4.29</v>
      </c>
      <c r="H109" s="2"/>
      <c r="I109" s="3">
        <v>0.75944339705833919</v>
      </c>
      <c r="J109" s="3">
        <f t="shared" si="9"/>
        <v>3.7183538040686311E-2</v>
      </c>
      <c r="K109" s="3">
        <f t="shared" si="10"/>
        <v>-0.14737551705234733</v>
      </c>
      <c r="L109" s="3">
        <f t="shared" si="11"/>
        <v>8.8727762736486165E-2</v>
      </c>
      <c r="M109" s="3">
        <f t="shared" si="12"/>
        <v>-0.16049652843020407</v>
      </c>
      <c r="N109" s="3">
        <f t="shared" si="13"/>
        <v>0.34786623214719364</v>
      </c>
      <c r="O109" s="3">
        <f t="shared" si="14"/>
        <v>2.3791693009481252</v>
      </c>
      <c r="P109" s="8">
        <f t="shared" si="15"/>
        <v>3.3045181854482792</v>
      </c>
      <c r="Q109" s="2">
        <f t="shared" si="16"/>
        <v>0.98548181455172079</v>
      </c>
      <c r="R109">
        <f t="shared" si="17"/>
        <v>0.97117440681215217</v>
      </c>
    </row>
    <row r="110" spans="1:18" x14ac:dyDescent="0.2">
      <c r="A110">
        <f>IF(tips!A110="Male",1,2)</f>
        <v>1</v>
      </c>
      <c r="B110">
        <f>IF(tips!B110="No",1,2)</f>
        <v>1</v>
      </c>
      <c r="C110">
        <f>IF(tips!D110="Dinner",1,2)</f>
        <v>1</v>
      </c>
      <c r="D110">
        <f>IF(tips!C110="Sun",1,IF(tips!C110="Fri",2,IF(tips!C110="Sat",3,IF(tips!C110="Thur",4))))</f>
        <v>3</v>
      </c>
      <c r="E110" s="2">
        <v>2</v>
      </c>
      <c r="F110" s="2">
        <v>18.239999999999998</v>
      </c>
      <c r="G110" s="8">
        <v>3.76</v>
      </c>
      <c r="H110" s="2"/>
      <c r="I110" s="3">
        <v>0.75944339705833919</v>
      </c>
      <c r="J110" s="3">
        <f t="shared" si="9"/>
        <v>3.7183538040686311E-2</v>
      </c>
      <c r="K110" s="3">
        <f t="shared" si="10"/>
        <v>-7.3687758526173666E-2</v>
      </c>
      <c r="L110" s="3">
        <f t="shared" si="11"/>
        <v>8.8727762736486165E-2</v>
      </c>
      <c r="M110" s="3">
        <f t="shared" si="12"/>
        <v>-0.16049652843020407</v>
      </c>
      <c r="N110" s="3">
        <f t="shared" si="13"/>
        <v>0.34786623214719364</v>
      </c>
      <c r="O110" s="3">
        <f t="shared" si="14"/>
        <v>1.7213823105630226</v>
      </c>
      <c r="P110" s="8">
        <f t="shared" si="15"/>
        <v>2.7204189535893502</v>
      </c>
      <c r="Q110" s="2">
        <f t="shared" si="16"/>
        <v>1.0395810464106496</v>
      </c>
      <c r="R110">
        <f t="shared" si="17"/>
        <v>1.0807287520562612</v>
      </c>
    </row>
    <row r="111" spans="1:18" x14ac:dyDescent="0.2">
      <c r="A111">
        <f>IF(tips!A111="Male",1,2)</f>
        <v>2</v>
      </c>
      <c r="B111">
        <f>IF(tips!B111="No",1,2)</f>
        <v>2</v>
      </c>
      <c r="C111">
        <f>IF(tips!D111="Dinner",1,2)</f>
        <v>1</v>
      </c>
      <c r="D111">
        <f>IF(tips!C111="Sun",1,IF(tips!C111="Fri",2,IF(tips!C111="Sat",3,IF(tips!C111="Thur",4))))</f>
        <v>3</v>
      </c>
      <c r="E111" s="2">
        <v>2</v>
      </c>
      <c r="F111" s="2">
        <v>14.31</v>
      </c>
      <c r="G111" s="8">
        <v>4</v>
      </c>
      <c r="H111" s="2"/>
      <c r="I111" s="3">
        <v>0.75944339705833919</v>
      </c>
      <c r="J111" s="3">
        <f t="shared" si="9"/>
        <v>7.4367076081372621E-2</v>
      </c>
      <c r="K111" s="3">
        <f t="shared" si="10"/>
        <v>-0.14737551705234733</v>
      </c>
      <c r="L111" s="3">
        <f t="shared" si="11"/>
        <v>8.8727762736486165E-2</v>
      </c>
      <c r="M111" s="3">
        <f t="shared" si="12"/>
        <v>-0.16049652843020407</v>
      </c>
      <c r="N111" s="3">
        <f t="shared" si="13"/>
        <v>0.34786623214719364</v>
      </c>
      <c r="O111" s="3">
        <f t="shared" si="14"/>
        <v>1.3504923719384241</v>
      </c>
      <c r="P111" s="8">
        <f t="shared" si="15"/>
        <v>2.3130247944792641</v>
      </c>
      <c r="Q111" s="2">
        <f t="shared" si="16"/>
        <v>1.6869752055207359</v>
      </c>
      <c r="R111">
        <f t="shared" si="17"/>
        <v>2.8458853440417289</v>
      </c>
    </row>
    <row r="112" spans="1:18" x14ac:dyDescent="0.2">
      <c r="A112">
        <f>IF(tips!A112="Male",1,2)</f>
        <v>1</v>
      </c>
      <c r="B112">
        <f>IF(tips!B112="No",1,2)</f>
        <v>1</v>
      </c>
      <c r="C112">
        <f>IF(tips!D112="Dinner",1,2)</f>
        <v>1</v>
      </c>
      <c r="D112">
        <f>IF(tips!C112="Sun",1,IF(tips!C112="Fri",2,IF(tips!C112="Sat",3,IF(tips!C112="Thur",4))))</f>
        <v>3</v>
      </c>
      <c r="E112" s="2">
        <v>2</v>
      </c>
      <c r="F112" s="2">
        <v>14</v>
      </c>
      <c r="G112" s="8">
        <v>3</v>
      </c>
      <c r="H112" s="2"/>
      <c r="I112" s="3">
        <v>0.75944339705833919</v>
      </c>
      <c r="J112" s="3">
        <f t="shared" si="9"/>
        <v>3.7183538040686311E-2</v>
      </c>
      <c r="K112" s="3">
        <f t="shared" si="10"/>
        <v>-7.3687758526173666E-2</v>
      </c>
      <c r="L112" s="3">
        <f t="shared" si="11"/>
        <v>8.8727762736486165E-2</v>
      </c>
      <c r="M112" s="3">
        <f t="shared" si="12"/>
        <v>-0.16049652843020407</v>
      </c>
      <c r="N112" s="3">
        <f t="shared" si="13"/>
        <v>0.34786623214719364</v>
      </c>
      <c r="O112" s="3">
        <f t="shared" si="14"/>
        <v>1.3212364225812674</v>
      </c>
      <c r="P112" s="8">
        <f t="shared" si="15"/>
        <v>2.3202730656075952</v>
      </c>
      <c r="Q112" s="2">
        <f t="shared" si="16"/>
        <v>0.67972693439240484</v>
      </c>
      <c r="R112">
        <f t="shared" si="17"/>
        <v>0.4620287053384966</v>
      </c>
    </row>
    <row r="113" spans="1:18" x14ac:dyDescent="0.2">
      <c r="A113">
        <f>IF(tips!A113="Male",1,2)</f>
        <v>2</v>
      </c>
      <c r="B113">
        <f>IF(tips!B113="No",1,2)</f>
        <v>1</v>
      </c>
      <c r="C113">
        <f>IF(tips!D113="Dinner",1,2)</f>
        <v>1</v>
      </c>
      <c r="D113">
        <f>IF(tips!C113="Sun",1,IF(tips!C113="Fri",2,IF(tips!C113="Sat",3,IF(tips!C113="Thur",4))))</f>
        <v>3</v>
      </c>
      <c r="E113" s="2">
        <v>1</v>
      </c>
      <c r="F113" s="2">
        <v>7.25</v>
      </c>
      <c r="G113" s="8">
        <v>1</v>
      </c>
      <c r="H113" s="2"/>
      <c r="I113" s="3">
        <v>0.75944339705833919</v>
      </c>
      <c r="J113" s="3">
        <f t="shared" si="9"/>
        <v>7.4367076081372621E-2</v>
      </c>
      <c r="K113" s="3">
        <f t="shared" si="10"/>
        <v>-7.3687758526173666E-2</v>
      </c>
      <c r="L113" s="3">
        <f t="shared" si="11"/>
        <v>8.8727762736486165E-2</v>
      </c>
      <c r="M113" s="3">
        <f t="shared" si="12"/>
        <v>-0.16049652843020407</v>
      </c>
      <c r="N113" s="3">
        <f t="shared" si="13"/>
        <v>0.17393311607359682</v>
      </c>
      <c r="O113" s="3">
        <f t="shared" si="14"/>
        <v>0.68421171883672782</v>
      </c>
      <c r="P113" s="8">
        <f t="shared" si="15"/>
        <v>1.5464987838301449</v>
      </c>
      <c r="Q113" s="2">
        <f t="shared" si="16"/>
        <v>-0.54649878383014494</v>
      </c>
      <c r="R113">
        <f t="shared" si="17"/>
        <v>0.29866092072782752</v>
      </c>
    </row>
    <row r="114" spans="1:18" x14ac:dyDescent="0.2">
      <c r="A114">
        <f>IF(tips!A114="Male",1,2)</f>
        <v>1</v>
      </c>
      <c r="B114">
        <f>IF(tips!B114="No",1,2)</f>
        <v>1</v>
      </c>
      <c r="C114">
        <f>IF(tips!D114="Dinner",1,2)</f>
        <v>1</v>
      </c>
      <c r="D114">
        <f>IF(tips!C114="Sun",1,IF(tips!C114="Fri",2,IF(tips!C114="Sat",3,IF(tips!C114="Thur",4))))</f>
        <v>1</v>
      </c>
      <c r="E114" s="2">
        <v>3</v>
      </c>
      <c r="F114" s="2">
        <v>38.07</v>
      </c>
      <c r="G114" s="8">
        <v>4</v>
      </c>
      <c r="H114" s="2"/>
      <c r="I114" s="3">
        <v>0.75944339705833919</v>
      </c>
      <c r="J114" s="3">
        <f t="shared" si="9"/>
        <v>3.7183538040686311E-2</v>
      </c>
      <c r="K114" s="3">
        <f t="shared" si="10"/>
        <v>-7.3687758526173666E-2</v>
      </c>
      <c r="L114" s="3">
        <f t="shared" si="11"/>
        <v>8.8727762736486165E-2</v>
      </c>
      <c r="M114" s="3">
        <f t="shared" si="12"/>
        <v>-5.3498842810068024E-2</v>
      </c>
      <c r="N114" s="3">
        <f t="shared" si="13"/>
        <v>0.52179934822079044</v>
      </c>
      <c r="O114" s="3">
        <f t="shared" si="14"/>
        <v>3.5928193291192039</v>
      </c>
      <c r="P114" s="8">
        <f t="shared" si="15"/>
        <v>4.8727867738392643</v>
      </c>
      <c r="Q114" s="2">
        <f t="shared" si="16"/>
        <v>-0.87278677383926428</v>
      </c>
      <c r="R114">
        <f t="shared" si="17"/>
        <v>0.76175675258875108</v>
      </c>
    </row>
    <row r="115" spans="1:18" x14ac:dyDescent="0.2">
      <c r="A115">
        <f>IF(tips!A115="Male",1,2)</f>
        <v>1</v>
      </c>
      <c r="B115">
        <f>IF(tips!B115="No",1,2)</f>
        <v>1</v>
      </c>
      <c r="C115">
        <f>IF(tips!D115="Dinner",1,2)</f>
        <v>1</v>
      </c>
      <c r="D115">
        <f>IF(tips!C115="Sun",1,IF(tips!C115="Fri",2,IF(tips!C115="Sat",3,IF(tips!C115="Thur",4))))</f>
        <v>1</v>
      </c>
      <c r="E115" s="2">
        <v>2</v>
      </c>
      <c r="F115" s="2">
        <v>23.95</v>
      </c>
      <c r="G115" s="8">
        <v>2.5499999999999998</v>
      </c>
      <c r="H115" s="2"/>
      <c r="I115" s="3">
        <v>0.75944339705833919</v>
      </c>
      <c r="J115" s="3">
        <f t="shared" si="9"/>
        <v>3.7183538040686311E-2</v>
      </c>
      <c r="K115" s="3">
        <f t="shared" si="10"/>
        <v>-7.3687758526173666E-2</v>
      </c>
      <c r="L115" s="3">
        <f t="shared" si="11"/>
        <v>8.8727762736486165E-2</v>
      </c>
      <c r="M115" s="3">
        <f t="shared" si="12"/>
        <v>-5.3498842810068024E-2</v>
      </c>
      <c r="N115" s="3">
        <f t="shared" si="13"/>
        <v>0.34786623214719364</v>
      </c>
      <c r="O115" s="3">
        <f t="shared" si="14"/>
        <v>2.2602580229158109</v>
      </c>
      <c r="P115" s="8">
        <f t="shared" si="15"/>
        <v>3.3662923515622745</v>
      </c>
      <c r="Q115" s="2">
        <f t="shared" si="16"/>
        <v>-0.81629235156227464</v>
      </c>
      <c r="R115">
        <f t="shared" si="17"/>
        <v>0.66633320321906819</v>
      </c>
    </row>
    <row r="116" spans="1:18" x14ac:dyDescent="0.2">
      <c r="A116">
        <f>IF(tips!A116="Male",1,2)</f>
        <v>2</v>
      </c>
      <c r="B116">
        <f>IF(tips!B116="No",1,2)</f>
        <v>1</v>
      </c>
      <c r="C116">
        <f>IF(tips!D116="Dinner",1,2)</f>
        <v>1</v>
      </c>
      <c r="D116">
        <f>IF(tips!C116="Sun",1,IF(tips!C116="Fri",2,IF(tips!C116="Sat",3,IF(tips!C116="Thur",4))))</f>
        <v>1</v>
      </c>
      <c r="E116" s="2">
        <v>3</v>
      </c>
      <c r="F116" s="2">
        <v>25.71</v>
      </c>
      <c r="G116" s="8">
        <v>4</v>
      </c>
      <c r="H116" s="2"/>
      <c r="I116" s="3">
        <v>0.75944339705833919</v>
      </c>
      <c r="J116" s="3">
        <f t="shared" si="9"/>
        <v>7.4367076081372621E-2</v>
      </c>
      <c r="K116" s="3">
        <f t="shared" si="10"/>
        <v>-7.3687758526173666E-2</v>
      </c>
      <c r="L116" s="3">
        <f t="shared" si="11"/>
        <v>8.8727762736486165E-2</v>
      </c>
      <c r="M116" s="3">
        <f t="shared" si="12"/>
        <v>-5.3498842810068024E-2</v>
      </c>
      <c r="N116" s="3">
        <f t="shared" si="13"/>
        <v>0.52179934822079044</v>
      </c>
      <c r="O116" s="3">
        <f t="shared" si="14"/>
        <v>2.4263563160403132</v>
      </c>
      <c r="P116" s="8">
        <f t="shared" si="15"/>
        <v>3.74350729880106</v>
      </c>
      <c r="Q116" s="2">
        <f t="shared" si="16"/>
        <v>0.25649270119893997</v>
      </c>
      <c r="R116">
        <f t="shared" si="17"/>
        <v>6.5788505768328703E-2</v>
      </c>
    </row>
    <row r="117" spans="1:18" x14ac:dyDescent="0.2">
      <c r="A117">
        <f>IF(tips!A117="Male",1,2)</f>
        <v>2</v>
      </c>
      <c r="B117">
        <f>IF(tips!B117="No",1,2)</f>
        <v>1</v>
      </c>
      <c r="C117">
        <f>IF(tips!D117="Dinner",1,2)</f>
        <v>1</v>
      </c>
      <c r="D117">
        <f>IF(tips!C117="Sun",1,IF(tips!C117="Fri",2,IF(tips!C117="Sat",3,IF(tips!C117="Thur",4))))</f>
        <v>1</v>
      </c>
      <c r="E117" s="2">
        <v>2</v>
      </c>
      <c r="F117" s="2">
        <v>17.309999999999999</v>
      </c>
      <c r="G117" s="8">
        <v>3.5</v>
      </c>
      <c r="H117" s="2"/>
      <c r="I117" s="3">
        <v>0.75944339705833919</v>
      </c>
      <c r="J117" s="3">
        <f t="shared" si="9"/>
        <v>7.4367076081372621E-2</v>
      </c>
      <c r="K117" s="3">
        <f t="shared" si="10"/>
        <v>-7.3687758526173666E-2</v>
      </c>
      <c r="L117" s="3">
        <f t="shared" si="11"/>
        <v>8.8727762736486165E-2</v>
      </c>
      <c r="M117" s="3">
        <f t="shared" si="12"/>
        <v>-5.3498842810068024E-2</v>
      </c>
      <c r="N117" s="3">
        <f t="shared" si="13"/>
        <v>0.34786623214719364</v>
      </c>
      <c r="O117" s="3">
        <f t="shared" si="14"/>
        <v>1.6336144624915527</v>
      </c>
      <c r="P117" s="8">
        <f t="shared" si="15"/>
        <v>2.7768323291787027</v>
      </c>
      <c r="Q117" s="2">
        <f t="shared" si="16"/>
        <v>0.72316767082129729</v>
      </c>
      <c r="R117">
        <f t="shared" si="17"/>
        <v>0.52297148012110017</v>
      </c>
    </row>
    <row r="118" spans="1:18" x14ac:dyDescent="0.2">
      <c r="A118">
        <f>IF(tips!A118="Male",1,2)</f>
        <v>1</v>
      </c>
      <c r="B118">
        <f>IF(tips!B118="No",1,2)</f>
        <v>1</v>
      </c>
      <c r="C118">
        <f>IF(tips!D118="Dinner",1,2)</f>
        <v>1</v>
      </c>
      <c r="D118">
        <f>IF(tips!C118="Sun",1,IF(tips!C118="Fri",2,IF(tips!C118="Sat",3,IF(tips!C118="Thur",4))))</f>
        <v>1</v>
      </c>
      <c r="E118" s="2">
        <v>4</v>
      </c>
      <c r="F118" s="2">
        <v>29.93</v>
      </c>
      <c r="G118" s="8">
        <v>5.07</v>
      </c>
      <c r="H118" s="2"/>
      <c r="I118" s="3">
        <v>0.75944339705833919</v>
      </c>
      <c r="J118" s="3">
        <f t="shared" si="9"/>
        <v>3.7183538040686311E-2</v>
      </c>
      <c r="K118" s="3">
        <f t="shared" si="10"/>
        <v>-7.3687758526173666E-2</v>
      </c>
      <c r="L118" s="3">
        <f t="shared" si="11"/>
        <v>8.8727762736486165E-2</v>
      </c>
      <c r="M118" s="3">
        <f t="shared" si="12"/>
        <v>-5.3498842810068024E-2</v>
      </c>
      <c r="N118" s="3">
        <f t="shared" si="13"/>
        <v>0.69573246429438729</v>
      </c>
      <c r="O118" s="3">
        <f t="shared" si="14"/>
        <v>2.8246147234183812</v>
      </c>
      <c r="P118" s="8">
        <f t="shared" si="15"/>
        <v>4.2785152842120384</v>
      </c>
      <c r="Q118" s="2">
        <f t="shared" si="16"/>
        <v>0.79148471578796187</v>
      </c>
      <c r="R118">
        <f t="shared" si="17"/>
        <v>0.62644805532595083</v>
      </c>
    </row>
    <row r="119" spans="1:18" x14ac:dyDescent="0.2">
      <c r="A119">
        <f>IF(tips!A119="Male",1,2)</f>
        <v>2</v>
      </c>
      <c r="B119">
        <f>IF(tips!B119="No",1,2)</f>
        <v>1</v>
      </c>
      <c r="C119">
        <f>IF(tips!D119="Dinner",1,2)</f>
        <v>2</v>
      </c>
      <c r="D119">
        <f>IF(tips!C119="Sun",1,IF(tips!C119="Fri",2,IF(tips!C119="Sat",3,IF(tips!C119="Thur",4))))</f>
        <v>4</v>
      </c>
      <c r="E119" s="2">
        <v>2</v>
      </c>
      <c r="F119" s="2">
        <v>10.65</v>
      </c>
      <c r="G119" s="8">
        <v>1.5</v>
      </c>
      <c r="H119" s="2"/>
      <c r="I119" s="3">
        <v>0.75944339705833919</v>
      </c>
      <c r="J119" s="3">
        <f t="shared" si="9"/>
        <v>7.4367076081372621E-2</v>
      </c>
      <c r="K119" s="3">
        <f t="shared" si="10"/>
        <v>-7.3687758526173666E-2</v>
      </c>
      <c r="L119" s="3">
        <f t="shared" si="11"/>
        <v>0.17745552547297233</v>
      </c>
      <c r="M119" s="3">
        <f t="shared" si="12"/>
        <v>-0.2139953712402721</v>
      </c>
      <c r="N119" s="3">
        <f t="shared" si="13"/>
        <v>0.34786623214719364</v>
      </c>
      <c r="O119" s="3">
        <f t="shared" si="14"/>
        <v>1.0050834214636071</v>
      </c>
      <c r="P119" s="8">
        <f t="shared" si="15"/>
        <v>2.0765325224570388</v>
      </c>
      <c r="Q119" s="2">
        <f t="shared" si="16"/>
        <v>-0.57653252245703879</v>
      </c>
      <c r="R119">
        <f t="shared" si="17"/>
        <v>0.33238974945067595</v>
      </c>
    </row>
    <row r="120" spans="1:18" x14ac:dyDescent="0.2">
      <c r="A120">
        <f>IF(tips!A120="Male",1,2)</f>
        <v>2</v>
      </c>
      <c r="B120">
        <f>IF(tips!B120="No",1,2)</f>
        <v>1</v>
      </c>
      <c r="C120">
        <f>IF(tips!D120="Dinner",1,2)</f>
        <v>2</v>
      </c>
      <c r="D120">
        <f>IF(tips!C120="Sun",1,IF(tips!C120="Fri",2,IF(tips!C120="Sat",3,IF(tips!C120="Thur",4))))</f>
        <v>4</v>
      </c>
      <c r="E120" s="2">
        <v>2</v>
      </c>
      <c r="F120" s="2">
        <v>12.43</v>
      </c>
      <c r="G120" s="8">
        <v>1.8</v>
      </c>
      <c r="H120" s="2"/>
      <c r="I120" s="3">
        <v>0.75944339705833919</v>
      </c>
      <c r="J120" s="3">
        <f t="shared" si="9"/>
        <v>7.4367076081372621E-2</v>
      </c>
      <c r="K120" s="3">
        <f t="shared" si="10"/>
        <v>-7.3687758526173666E-2</v>
      </c>
      <c r="L120" s="3">
        <f t="shared" si="11"/>
        <v>0.17745552547297233</v>
      </c>
      <c r="M120" s="3">
        <f t="shared" si="12"/>
        <v>-0.2139953712402721</v>
      </c>
      <c r="N120" s="3">
        <f t="shared" si="13"/>
        <v>0.34786623214719364</v>
      </c>
      <c r="O120" s="3">
        <f t="shared" si="14"/>
        <v>1.1730691951917966</v>
      </c>
      <c r="P120" s="8">
        <f t="shared" si="15"/>
        <v>2.2445182961852286</v>
      </c>
      <c r="Q120" s="2">
        <f t="shared" si="16"/>
        <v>-0.44451829618522853</v>
      </c>
      <c r="R120">
        <f t="shared" si="17"/>
        <v>0.19759651564341857</v>
      </c>
    </row>
    <row r="121" spans="1:18" x14ac:dyDescent="0.2">
      <c r="A121">
        <f>IF(tips!A121="Male",1,2)</f>
        <v>2</v>
      </c>
      <c r="B121">
        <f>IF(tips!B121="No",1,2)</f>
        <v>1</v>
      </c>
      <c r="C121">
        <f>IF(tips!D121="Dinner",1,2)</f>
        <v>2</v>
      </c>
      <c r="D121">
        <f>IF(tips!C121="Sun",1,IF(tips!C121="Fri",2,IF(tips!C121="Sat",3,IF(tips!C121="Thur",4))))</f>
        <v>4</v>
      </c>
      <c r="E121" s="2">
        <v>4</v>
      </c>
      <c r="F121" s="2">
        <v>24.08</v>
      </c>
      <c r="G121" s="8">
        <v>2.92</v>
      </c>
      <c r="H121" s="2"/>
      <c r="I121" s="3">
        <v>0.75944339705833919</v>
      </c>
      <c r="J121" s="3">
        <f t="shared" si="9"/>
        <v>7.4367076081372621E-2</v>
      </c>
      <c r="K121" s="3">
        <f t="shared" si="10"/>
        <v>-7.3687758526173666E-2</v>
      </c>
      <c r="L121" s="3">
        <f t="shared" si="11"/>
        <v>0.17745552547297233</v>
      </c>
      <c r="M121" s="3">
        <f t="shared" si="12"/>
        <v>-0.2139953712402721</v>
      </c>
      <c r="N121" s="3">
        <f t="shared" si="13"/>
        <v>0.69573246429438729</v>
      </c>
      <c r="O121" s="3">
        <f t="shared" si="14"/>
        <v>2.27252664683978</v>
      </c>
      <c r="P121" s="8">
        <f t="shared" si="15"/>
        <v>3.6918419799804054</v>
      </c>
      <c r="Q121" s="2">
        <f t="shared" si="16"/>
        <v>-0.77184197998040549</v>
      </c>
      <c r="R121">
        <f t="shared" si="17"/>
        <v>0.59574004206007269</v>
      </c>
    </row>
    <row r="122" spans="1:18" x14ac:dyDescent="0.2">
      <c r="A122">
        <f>IF(tips!A122="Male",1,2)</f>
        <v>1</v>
      </c>
      <c r="B122">
        <f>IF(tips!B122="No",1,2)</f>
        <v>1</v>
      </c>
      <c r="C122">
        <f>IF(tips!D122="Dinner",1,2)</f>
        <v>2</v>
      </c>
      <c r="D122">
        <f>IF(tips!C122="Sun",1,IF(tips!C122="Fri",2,IF(tips!C122="Sat",3,IF(tips!C122="Thur",4))))</f>
        <v>4</v>
      </c>
      <c r="E122" s="2">
        <v>2</v>
      </c>
      <c r="F122" s="2">
        <v>11.69</v>
      </c>
      <c r="G122" s="8">
        <v>2.31</v>
      </c>
      <c r="H122" s="2"/>
      <c r="I122" s="3">
        <v>0.75944339705833919</v>
      </c>
      <c r="J122" s="3">
        <f t="shared" si="9"/>
        <v>3.7183538040686311E-2</v>
      </c>
      <c r="K122" s="3">
        <f t="shared" si="10"/>
        <v>-7.3687758526173666E-2</v>
      </c>
      <c r="L122" s="3">
        <f t="shared" si="11"/>
        <v>0.17745552547297233</v>
      </c>
      <c r="M122" s="3">
        <f t="shared" si="12"/>
        <v>-0.2139953712402721</v>
      </c>
      <c r="N122" s="3">
        <f t="shared" si="13"/>
        <v>0.34786623214719364</v>
      </c>
      <c r="O122" s="3">
        <f t="shared" si="14"/>
        <v>1.1032324128553583</v>
      </c>
      <c r="P122" s="8">
        <f t="shared" si="15"/>
        <v>2.1374979758081039</v>
      </c>
      <c r="Q122" s="2">
        <f t="shared" si="16"/>
        <v>0.1725020241918962</v>
      </c>
      <c r="R122">
        <f t="shared" si="17"/>
        <v>2.975694835030154E-2</v>
      </c>
    </row>
    <row r="123" spans="1:18" x14ac:dyDescent="0.2">
      <c r="A123">
        <f>IF(tips!A123="Male",1,2)</f>
        <v>2</v>
      </c>
      <c r="B123">
        <f>IF(tips!B123="No",1,2)</f>
        <v>1</v>
      </c>
      <c r="C123">
        <f>IF(tips!D123="Dinner",1,2)</f>
        <v>2</v>
      </c>
      <c r="D123">
        <f>IF(tips!C123="Sun",1,IF(tips!C123="Fri",2,IF(tips!C123="Sat",3,IF(tips!C123="Thur",4))))</f>
        <v>4</v>
      </c>
      <c r="E123" s="2">
        <v>2</v>
      </c>
      <c r="F123" s="2">
        <v>13.42</v>
      </c>
      <c r="G123" s="8">
        <v>1.68</v>
      </c>
      <c r="H123" s="2"/>
      <c r="I123" s="3">
        <v>0.75944339705833919</v>
      </c>
      <c r="J123" s="3">
        <f t="shared" si="9"/>
        <v>7.4367076081372621E-2</v>
      </c>
      <c r="K123" s="3">
        <f t="shared" si="10"/>
        <v>-7.3687758526173666E-2</v>
      </c>
      <c r="L123" s="3">
        <f t="shared" si="11"/>
        <v>0.17745552547297233</v>
      </c>
      <c r="M123" s="3">
        <f t="shared" si="12"/>
        <v>-0.2139953712402721</v>
      </c>
      <c r="N123" s="3">
        <f t="shared" si="13"/>
        <v>0.34786623214719364</v>
      </c>
      <c r="O123" s="3">
        <f t="shared" si="14"/>
        <v>1.2664994850743292</v>
      </c>
      <c r="P123" s="8">
        <f t="shared" si="15"/>
        <v>2.3379485860677613</v>
      </c>
      <c r="Q123" s="2">
        <f t="shared" si="16"/>
        <v>-0.65794858606776141</v>
      </c>
      <c r="R123">
        <f t="shared" si="17"/>
        <v>0.43289634190856646</v>
      </c>
    </row>
    <row r="124" spans="1:18" x14ac:dyDescent="0.2">
      <c r="A124">
        <f>IF(tips!A124="Male",1,2)</f>
        <v>1</v>
      </c>
      <c r="B124">
        <f>IF(tips!B124="No",1,2)</f>
        <v>1</v>
      </c>
      <c r="C124">
        <f>IF(tips!D124="Dinner",1,2)</f>
        <v>2</v>
      </c>
      <c r="D124">
        <f>IF(tips!C124="Sun",1,IF(tips!C124="Fri",2,IF(tips!C124="Sat",3,IF(tips!C124="Thur",4))))</f>
        <v>4</v>
      </c>
      <c r="E124" s="2">
        <v>2</v>
      </c>
      <c r="F124" s="2">
        <v>14.26</v>
      </c>
      <c r="G124" s="8">
        <v>2.5</v>
      </c>
      <c r="H124" s="2"/>
      <c r="I124" s="3">
        <v>0.75944339705833919</v>
      </c>
      <c r="J124" s="3">
        <f t="shared" si="9"/>
        <v>3.7183538040686311E-2</v>
      </c>
      <c r="K124" s="3">
        <f t="shared" si="10"/>
        <v>-7.3687758526173666E-2</v>
      </c>
      <c r="L124" s="3">
        <f t="shared" si="11"/>
        <v>0.17745552547297233</v>
      </c>
      <c r="M124" s="3">
        <f t="shared" si="12"/>
        <v>-0.2139953712402721</v>
      </c>
      <c r="N124" s="3">
        <f t="shared" si="13"/>
        <v>0.34786623214719364</v>
      </c>
      <c r="O124" s="3">
        <f t="shared" si="14"/>
        <v>1.3457736704292054</v>
      </c>
      <c r="P124" s="8">
        <f t="shared" si="15"/>
        <v>2.3800392333819511</v>
      </c>
      <c r="Q124" s="2">
        <f t="shared" si="16"/>
        <v>0.11996076661804889</v>
      </c>
      <c r="R124">
        <f t="shared" si="17"/>
        <v>1.4390585527589992E-2</v>
      </c>
    </row>
    <row r="125" spans="1:18" x14ac:dyDescent="0.2">
      <c r="A125">
        <f>IF(tips!A125="Male",1,2)</f>
        <v>1</v>
      </c>
      <c r="B125">
        <f>IF(tips!B125="No",1,2)</f>
        <v>1</v>
      </c>
      <c r="C125">
        <f>IF(tips!D125="Dinner",1,2)</f>
        <v>2</v>
      </c>
      <c r="D125">
        <f>IF(tips!C125="Sun",1,IF(tips!C125="Fri",2,IF(tips!C125="Sat",3,IF(tips!C125="Thur",4))))</f>
        <v>4</v>
      </c>
      <c r="E125" s="2">
        <v>2</v>
      </c>
      <c r="F125" s="2">
        <v>15.95</v>
      </c>
      <c r="G125" s="8">
        <v>2</v>
      </c>
      <c r="H125" s="2"/>
      <c r="I125" s="3">
        <v>0.75944339705833919</v>
      </c>
      <c r="J125" s="3">
        <f t="shared" si="9"/>
        <v>3.7183538040686311E-2</v>
      </c>
      <c r="K125" s="3">
        <f t="shared" si="10"/>
        <v>-7.3687758526173666E-2</v>
      </c>
      <c r="L125" s="3">
        <f t="shared" si="11"/>
        <v>0.17745552547297233</v>
      </c>
      <c r="M125" s="3">
        <f t="shared" si="12"/>
        <v>-0.2139953712402721</v>
      </c>
      <c r="N125" s="3">
        <f t="shared" si="13"/>
        <v>0.34786623214719364</v>
      </c>
      <c r="O125" s="3">
        <f t="shared" si="14"/>
        <v>1.505265781440801</v>
      </c>
      <c r="P125" s="8">
        <f t="shared" si="15"/>
        <v>2.5395313443935468</v>
      </c>
      <c r="Q125" s="2">
        <f t="shared" si="16"/>
        <v>-0.53953134439354677</v>
      </c>
      <c r="R125">
        <f t="shared" si="17"/>
        <v>0.29109407158310796</v>
      </c>
    </row>
    <row r="126" spans="1:18" x14ac:dyDescent="0.2">
      <c r="A126">
        <f>IF(tips!A126="Male",1,2)</f>
        <v>2</v>
      </c>
      <c r="B126">
        <f>IF(tips!B126="No",1,2)</f>
        <v>1</v>
      </c>
      <c r="C126">
        <f>IF(tips!D126="Dinner",1,2)</f>
        <v>2</v>
      </c>
      <c r="D126">
        <f>IF(tips!C126="Sun",1,IF(tips!C126="Fri",2,IF(tips!C126="Sat",3,IF(tips!C126="Thur",4))))</f>
        <v>4</v>
      </c>
      <c r="E126" s="2">
        <v>2</v>
      </c>
      <c r="F126" s="2">
        <v>12.48</v>
      </c>
      <c r="G126" s="8">
        <v>2.52</v>
      </c>
      <c r="H126" s="2"/>
      <c r="I126" s="3">
        <v>0.75944339705833919</v>
      </c>
      <c r="J126" s="3">
        <f t="shared" si="9"/>
        <v>7.4367076081372621E-2</v>
      </c>
      <c r="K126" s="3">
        <f t="shared" si="10"/>
        <v>-7.3687758526173666E-2</v>
      </c>
      <c r="L126" s="3">
        <f t="shared" si="11"/>
        <v>0.17745552547297233</v>
      </c>
      <c r="M126" s="3">
        <f t="shared" si="12"/>
        <v>-0.2139953712402721</v>
      </c>
      <c r="N126" s="3">
        <f t="shared" si="13"/>
        <v>0.34786623214719364</v>
      </c>
      <c r="O126" s="3">
        <f t="shared" si="14"/>
        <v>1.1777878967010156</v>
      </c>
      <c r="P126" s="8">
        <f t="shared" si="15"/>
        <v>2.2492369976944477</v>
      </c>
      <c r="Q126" s="2">
        <f t="shared" si="16"/>
        <v>0.27076300230555228</v>
      </c>
      <c r="R126">
        <f t="shared" si="17"/>
        <v>7.3312603417516511E-2</v>
      </c>
    </row>
    <row r="127" spans="1:18" x14ac:dyDescent="0.2">
      <c r="A127">
        <f>IF(tips!A127="Male",1,2)</f>
        <v>2</v>
      </c>
      <c r="B127">
        <f>IF(tips!B127="No",1,2)</f>
        <v>1</v>
      </c>
      <c r="C127">
        <f>IF(tips!D127="Dinner",1,2)</f>
        <v>2</v>
      </c>
      <c r="D127">
        <f>IF(tips!C127="Sun",1,IF(tips!C127="Fri",2,IF(tips!C127="Sat",3,IF(tips!C127="Thur",4))))</f>
        <v>4</v>
      </c>
      <c r="E127" s="2">
        <v>6</v>
      </c>
      <c r="F127" s="2">
        <v>29.8</v>
      </c>
      <c r="G127" s="8">
        <v>4.2</v>
      </c>
      <c r="H127" s="2"/>
      <c r="I127" s="3">
        <v>0.75944339705833919</v>
      </c>
      <c r="J127" s="3">
        <f t="shared" si="9"/>
        <v>7.4367076081372621E-2</v>
      </c>
      <c r="K127" s="3">
        <f t="shared" si="10"/>
        <v>-7.3687758526173666E-2</v>
      </c>
      <c r="L127" s="3">
        <f t="shared" si="11"/>
        <v>0.17745552547297233</v>
      </c>
      <c r="M127" s="3">
        <f t="shared" si="12"/>
        <v>-0.2139953712402721</v>
      </c>
      <c r="N127" s="3">
        <f t="shared" si="13"/>
        <v>1.0435986964415809</v>
      </c>
      <c r="O127" s="3">
        <f t="shared" si="14"/>
        <v>2.8123460994944121</v>
      </c>
      <c r="P127" s="8">
        <f t="shared" si="15"/>
        <v>4.5795276647822316</v>
      </c>
      <c r="Q127" s="2">
        <f t="shared" si="16"/>
        <v>-0.37952766478223143</v>
      </c>
      <c r="R127">
        <f t="shared" si="17"/>
        <v>0.14404124833505383</v>
      </c>
    </row>
    <row r="128" spans="1:18" x14ac:dyDescent="0.2">
      <c r="A128">
        <f>IF(tips!A128="Male",1,2)</f>
        <v>1</v>
      </c>
      <c r="B128">
        <f>IF(tips!B128="No",1,2)</f>
        <v>1</v>
      </c>
      <c r="C128">
        <f>IF(tips!D128="Dinner",1,2)</f>
        <v>2</v>
      </c>
      <c r="D128">
        <f>IF(tips!C128="Sun",1,IF(tips!C128="Fri",2,IF(tips!C128="Sat",3,IF(tips!C128="Thur",4))))</f>
        <v>4</v>
      </c>
      <c r="E128" s="2">
        <v>2</v>
      </c>
      <c r="F128" s="2">
        <v>8.52</v>
      </c>
      <c r="G128" s="8">
        <v>1.48</v>
      </c>
      <c r="H128" s="2"/>
      <c r="I128" s="3">
        <v>0.75944339705833919</v>
      </c>
      <c r="J128" s="3">
        <f t="shared" si="9"/>
        <v>3.7183538040686311E-2</v>
      </c>
      <c r="K128" s="3">
        <f t="shared" si="10"/>
        <v>-7.3687758526173666E-2</v>
      </c>
      <c r="L128" s="3">
        <f t="shared" si="11"/>
        <v>0.17745552547297233</v>
      </c>
      <c r="M128" s="3">
        <f t="shared" si="12"/>
        <v>-0.2139953712402721</v>
      </c>
      <c r="N128" s="3">
        <f t="shared" si="13"/>
        <v>0.34786623214719364</v>
      </c>
      <c r="O128" s="3">
        <f t="shared" si="14"/>
        <v>0.80406673717088561</v>
      </c>
      <c r="P128" s="8">
        <f t="shared" si="15"/>
        <v>1.8383323001236311</v>
      </c>
      <c r="Q128" s="2">
        <f t="shared" si="16"/>
        <v>-0.35833230012363115</v>
      </c>
      <c r="R128">
        <f t="shared" si="17"/>
        <v>0.12840203731189206</v>
      </c>
    </row>
    <row r="129" spans="1:18" x14ac:dyDescent="0.2">
      <c r="A129">
        <f>IF(tips!A129="Male",1,2)</f>
        <v>2</v>
      </c>
      <c r="B129">
        <f>IF(tips!B129="No",1,2)</f>
        <v>1</v>
      </c>
      <c r="C129">
        <f>IF(tips!D129="Dinner",1,2)</f>
        <v>2</v>
      </c>
      <c r="D129">
        <f>IF(tips!C129="Sun",1,IF(tips!C129="Fri",2,IF(tips!C129="Sat",3,IF(tips!C129="Thur",4))))</f>
        <v>4</v>
      </c>
      <c r="E129" s="2">
        <v>2</v>
      </c>
      <c r="F129" s="2">
        <v>14.52</v>
      </c>
      <c r="G129" s="8">
        <v>2</v>
      </c>
      <c r="H129" s="2"/>
      <c r="I129" s="3">
        <v>0.75944339705833919</v>
      </c>
      <c r="J129" s="3">
        <f t="shared" si="9"/>
        <v>7.4367076081372621E-2</v>
      </c>
      <c r="K129" s="3">
        <f t="shared" si="10"/>
        <v>-7.3687758526173666E-2</v>
      </c>
      <c r="L129" s="3">
        <f t="shared" si="11"/>
        <v>0.17745552547297233</v>
      </c>
      <c r="M129" s="3">
        <f t="shared" si="12"/>
        <v>-0.2139953712402721</v>
      </c>
      <c r="N129" s="3">
        <f t="shared" si="13"/>
        <v>0.34786623214719364</v>
      </c>
      <c r="O129" s="3">
        <f t="shared" si="14"/>
        <v>1.3703109182771431</v>
      </c>
      <c r="P129" s="8">
        <f t="shared" si="15"/>
        <v>2.4417600192705748</v>
      </c>
      <c r="Q129" s="2">
        <f t="shared" si="16"/>
        <v>-0.44176001927057484</v>
      </c>
      <c r="R129">
        <f t="shared" si="17"/>
        <v>0.19515191462593864</v>
      </c>
    </row>
    <row r="130" spans="1:18" x14ac:dyDescent="0.2">
      <c r="A130">
        <f>IF(tips!A130="Male",1,2)</f>
        <v>2</v>
      </c>
      <c r="B130">
        <f>IF(tips!B130="No",1,2)</f>
        <v>1</v>
      </c>
      <c r="C130">
        <f>IF(tips!D130="Dinner",1,2)</f>
        <v>2</v>
      </c>
      <c r="D130">
        <f>IF(tips!C130="Sun",1,IF(tips!C130="Fri",2,IF(tips!C130="Sat",3,IF(tips!C130="Thur",4))))</f>
        <v>4</v>
      </c>
      <c r="E130" s="2">
        <v>2</v>
      </c>
      <c r="F130" s="2">
        <v>11.38</v>
      </c>
      <c r="G130" s="8">
        <v>2</v>
      </c>
      <c r="H130" s="2"/>
      <c r="I130" s="3">
        <v>0.75944339705833919</v>
      </c>
      <c r="J130" s="3">
        <f t="shared" si="9"/>
        <v>7.4367076081372621E-2</v>
      </c>
      <c r="K130" s="3">
        <f t="shared" si="10"/>
        <v>-7.3687758526173666E-2</v>
      </c>
      <c r="L130" s="3">
        <f t="shared" si="11"/>
        <v>0.17745552547297233</v>
      </c>
      <c r="M130" s="3">
        <f t="shared" si="12"/>
        <v>-0.2139953712402721</v>
      </c>
      <c r="N130" s="3">
        <f t="shared" si="13"/>
        <v>0.34786623214719364</v>
      </c>
      <c r="O130" s="3">
        <f t="shared" si="14"/>
        <v>1.0739764634982019</v>
      </c>
      <c r="P130" s="8">
        <f t="shared" si="15"/>
        <v>2.1454255644916338</v>
      </c>
      <c r="Q130" s="2">
        <f t="shared" si="16"/>
        <v>-0.1454255644916338</v>
      </c>
      <c r="R130">
        <f t="shared" si="17"/>
        <v>2.1148594807710339E-2</v>
      </c>
    </row>
    <row r="131" spans="1:18" x14ac:dyDescent="0.2">
      <c r="A131">
        <f>IF(tips!A131="Male",1,2)</f>
        <v>1</v>
      </c>
      <c r="B131">
        <f>IF(tips!B131="No",1,2)</f>
        <v>1</v>
      </c>
      <c r="C131">
        <f>IF(tips!D131="Dinner",1,2)</f>
        <v>2</v>
      </c>
      <c r="D131">
        <f>IF(tips!C131="Sun",1,IF(tips!C131="Fri",2,IF(tips!C131="Sat",3,IF(tips!C131="Thur",4))))</f>
        <v>4</v>
      </c>
      <c r="E131" s="2">
        <v>3</v>
      </c>
      <c r="F131" s="2">
        <v>22.82</v>
      </c>
      <c r="G131" s="8">
        <v>2.1800000000000002</v>
      </c>
      <c r="H131" s="2"/>
      <c r="I131" s="3">
        <v>0.75944339705833919</v>
      </c>
      <c r="J131" s="3">
        <f t="shared" ref="J131:J194" si="18">$J$1*A131</f>
        <v>3.7183538040686311E-2</v>
      </c>
      <c r="K131" s="3">
        <f t="shared" ref="K131:K194" si="19">$K$1*B131</f>
        <v>-7.3687758526173666E-2</v>
      </c>
      <c r="L131" s="3">
        <f t="shared" ref="L131:L194" si="20">$L$1*C131</f>
        <v>0.17745552547297233</v>
      </c>
      <c r="M131" s="3">
        <f t="shared" ref="M131:M194" si="21">$M$1*D131</f>
        <v>-0.2139953712402721</v>
      </c>
      <c r="N131" s="3">
        <f t="shared" ref="N131:N194" si="22">$N$1*E131</f>
        <v>0.52179934822079044</v>
      </c>
      <c r="O131" s="3">
        <f t="shared" ref="O131:O194" si="23">$O$1*F131</f>
        <v>2.1536153688074662</v>
      </c>
      <c r="P131" s="8">
        <f t="shared" ref="P131:P194" si="24">SUM(I131:O131)</f>
        <v>3.3618140478338088</v>
      </c>
      <c r="Q131" s="2">
        <f t="shared" ref="Q131:Q194" si="25">G131-P131</f>
        <v>-1.1818140478338086</v>
      </c>
      <c r="R131">
        <f t="shared" ref="R131:R194" si="26">Q131*Q131</f>
        <v>1.3966844436573316</v>
      </c>
    </row>
    <row r="132" spans="1:18" x14ac:dyDescent="0.2">
      <c r="A132">
        <f>IF(tips!A132="Male",1,2)</f>
        <v>1</v>
      </c>
      <c r="B132">
        <f>IF(tips!B132="No",1,2)</f>
        <v>1</v>
      </c>
      <c r="C132">
        <f>IF(tips!D132="Dinner",1,2)</f>
        <v>2</v>
      </c>
      <c r="D132">
        <f>IF(tips!C132="Sun",1,IF(tips!C132="Fri",2,IF(tips!C132="Sat",3,IF(tips!C132="Thur",4))))</f>
        <v>4</v>
      </c>
      <c r="E132" s="2">
        <v>2</v>
      </c>
      <c r="F132" s="2">
        <v>19.079999999999998</v>
      </c>
      <c r="G132" s="8">
        <v>1.5</v>
      </c>
      <c r="H132" s="2"/>
      <c r="I132" s="3">
        <v>0.75944339705833919</v>
      </c>
      <c r="J132" s="3">
        <f t="shared" si="18"/>
        <v>3.7183538040686311E-2</v>
      </c>
      <c r="K132" s="3">
        <f t="shared" si="19"/>
        <v>-7.3687758526173666E-2</v>
      </c>
      <c r="L132" s="3">
        <f t="shared" si="20"/>
        <v>0.17745552547297233</v>
      </c>
      <c r="M132" s="3">
        <f t="shared" si="21"/>
        <v>-0.2139953712402721</v>
      </c>
      <c r="N132" s="3">
        <f t="shared" si="22"/>
        <v>0.34786623214719364</v>
      </c>
      <c r="O132" s="3">
        <f t="shared" si="23"/>
        <v>1.8006564959178986</v>
      </c>
      <c r="P132" s="8">
        <f t="shared" si="24"/>
        <v>2.8349220588706441</v>
      </c>
      <c r="Q132" s="2">
        <f t="shared" si="25"/>
        <v>-1.3349220588706441</v>
      </c>
      <c r="R132">
        <f t="shared" si="26"/>
        <v>1.7820169032594393</v>
      </c>
    </row>
    <row r="133" spans="1:18" x14ac:dyDescent="0.2">
      <c r="A133">
        <f>IF(tips!A133="Male",1,2)</f>
        <v>2</v>
      </c>
      <c r="B133">
        <f>IF(tips!B133="No",1,2)</f>
        <v>1</v>
      </c>
      <c r="C133">
        <f>IF(tips!D133="Dinner",1,2)</f>
        <v>2</v>
      </c>
      <c r="D133">
        <f>IF(tips!C133="Sun",1,IF(tips!C133="Fri",2,IF(tips!C133="Sat",3,IF(tips!C133="Thur",4))))</f>
        <v>4</v>
      </c>
      <c r="E133" s="2">
        <v>2</v>
      </c>
      <c r="F133" s="2">
        <v>20.27</v>
      </c>
      <c r="G133" s="8">
        <v>2.83</v>
      </c>
      <c r="H133" s="2"/>
      <c r="I133" s="3">
        <v>0.75944339705833919</v>
      </c>
      <c r="J133" s="3">
        <f t="shared" si="18"/>
        <v>7.4367076081372621E-2</v>
      </c>
      <c r="K133" s="3">
        <f t="shared" si="19"/>
        <v>-7.3687758526173666E-2</v>
      </c>
      <c r="L133" s="3">
        <f t="shared" si="20"/>
        <v>0.17745552547297233</v>
      </c>
      <c r="M133" s="3">
        <f t="shared" si="21"/>
        <v>-0.2139953712402721</v>
      </c>
      <c r="N133" s="3">
        <f t="shared" si="22"/>
        <v>0.34786623214719364</v>
      </c>
      <c r="O133" s="3">
        <f t="shared" si="23"/>
        <v>1.9129615918373064</v>
      </c>
      <c r="P133" s="8">
        <f t="shared" si="24"/>
        <v>2.9844106928307381</v>
      </c>
      <c r="Q133" s="2">
        <f t="shared" si="25"/>
        <v>-0.15441069283073805</v>
      </c>
      <c r="R133">
        <f t="shared" si="26"/>
        <v>2.384266206046854E-2</v>
      </c>
    </row>
    <row r="134" spans="1:18" x14ac:dyDescent="0.2">
      <c r="A134">
        <f>IF(tips!A134="Male",1,2)</f>
        <v>2</v>
      </c>
      <c r="B134">
        <f>IF(tips!B134="No",1,2)</f>
        <v>1</v>
      </c>
      <c r="C134">
        <f>IF(tips!D134="Dinner",1,2)</f>
        <v>2</v>
      </c>
      <c r="D134">
        <f>IF(tips!C134="Sun",1,IF(tips!C134="Fri",2,IF(tips!C134="Sat",3,IF(tips!C134="Thur",4))))</f>
        <v>4</v>
      </c>
      <c r="E134" s="2">
        <v>2</v>
      </c>
      <c r="F134" s="2">
        <v>11.17</v>
      </c>
      <c r="G134" s="8">
        <v>1.5</v>
      </c>
      <c r="H134" s="2"/>
      <c r="I134" s="3">
        <v>0.75944339705833919</v>
      </c>
      <c r="J134" s="3">
        <f t="shared" si="18"/>
        <v>7.4367076081372621E-2</v>
      </c>
      <c r="K134" s="3">
        <f t="shared" si="19"/>
        <v>-7.3687758526173666E-2</v>
      </c>
      <c r="L134" s="3">
        <f t="shared" si="20"/>
        <v>0.17745552547297233</v>
      </c>
      <c r="M134" s="3">
        <f t="shared" si="21"/>
        <v>-0.2139953712402721</v>
      </c>
      <c r="N134" s="3">
        <f t="shared" si="22"/>
        <v>0.34786623214719364</v>
      </c>
      <c r="O134" s="3">
        <f t="shared" si="23"/>
        <v>1.0541579171594826</v>
      </c>
      <c r="P134" s="8">
        <f t="shared" si="24"/>
        <v>2.1256070181529143</v>
      </c>
      <c r="Q134" s="2">
        <f t="shared" si="25"/>
        <v>-0.62560701815291431</v>
      </c>
      <c r="R134">
        <f t="shared" si="26"/>
        <v>0.39138414116218084</v>
      </c>
    </row>
    <row r="135" spans="1:18" x14ac:dyDescent="0.2">
      <c r="A135">
        <f>IF(tips!A135="Male",1,2)</f>
        <v>2</v>
      </c>
      <c r="B135">
        <f>IF(tips!B135="No",1,2)</f>
        <v>1</v>
      </c>
      <c r="C135">
        <f>IF(tips!D135="Dinner",1,2)</f>
        <v>2</v>
      </c>
      <c r="D135">
        <f>IF(tips!C135="Sun",1,IF(tips!C135="Fri",2,IF(tips!C135="Sat",3,IF(tips!C135="Thur",4))))</f>
        <v>4</v>
      </c>
      <c r="E135" s="2">
        <v>2</v>
      </c>
      <c r="F135" s="2">
        <v>12.26</v>
      </c>
      <c r="G135" s="8">
        <v>2</v>
      </c>
      <c r="H135" s="2"/>
      <c r="I135" s="3">
        <v>0.75944339705833919</v>
      </c>
      <c r="J135" s="3">
        <f t="shared" si="18"/>
        <v>7.4367076081372621E-2</v>
      </c>
      <c r="K135" s="3">
        <f t="shared" si="19"/>
        <v>-7.3687758526173666E-2</v>
      </c>
      <c r="L135" s="3">
        <f t="shared" si="20"/>
        <v>0.17745552547297233</v>
      </c>
      <c r="M135" s="3">
        <f t="shared" si="21"/>
        <v>-0.2139953712402721</v>
      </c>
      <c r="N135" s="3">
        <f t="shared" si="22"/>
        <v>0.34786623214719364</v>
      </c>
      <c r="O135" s="3">
        <f t="shared" si="23"/>
        <v>1.1570256100604528</v>
      </c>
      <c r="P135" s="8">
        <f t="shared" si="24"/>
        <v>2.2284747110538845</v>
      </c>
      <c r="Q135" s="2">
        <f t="shared" si="25"/>
        <v>-0.2284747110538845</v>
      </c>
      <c r="R135">
        <f t="shared" si="26"/>
        <v>5.2200693591156012E-2</v>
      </c>
    </row>
    <row r="136" spans="1:18" x14ac:dyDescent="0.2">
      <c r="A136">
        <f>IF(tips!A136="Male",1,2)</f>
        <v>2</v>
      </c>
      <c r="B136">
        <f>IF(tips!B136="No",1,2)</f>
        <v>1</v>
      </c>
      <c r="C136">
        <f>IF(tips!D136="Dinner",1,2)</f>
        <v>2</v>
      </c>
      <c r="D136">
        <f>IF(tips!C136="Sun",1,IF(tips!C136="Fri",2,IF(tips!C136="Sat",3,IF(tips!C136="Thur",4))))</f>
        <v>4</v>
      </c>
      <c r="E136" s="2">
        <v>2</v>
      </c>
      <c r="F136" s="2">
        <v>18.260000000000002</v>
      </c>
      <c r="G136" s="8">
        <v>3.25</v>
      </c>
      <c r="H136" s="2"/>
      <c r="I136" s="3">
        <v>0.75944339705833919</v>
      </c>
      <c r="J136" s="3">
        <f t="shared" si="18"/>
        <v>7.4367076081372621E-2</v>
      </c>
      <c r="K136" s="3">
        <f t="shared" si="19"/>
        <v>-7.3687758526173666E-2</v>
      </c>
      <c r="L136" s="3">
        <f t="shared" si="20"/>
        <v>0.17745552547297233</v>
      </c>
      <c r="M136" s="3">
        <f t="shared" si="21"/>
        <v>-0.2139953712402721</v>
      </c>
      <c r="N136" s="3">
        <f t="shared" si="22"/>
        <v>0.34786623214719364</v>
      </c>
      <c r="O136" s="3">
        <f t="shared" si="23"/>
        <v>1.7232697911667105</v>
      </c>
      <c r="P136" s="8">
        <f t="shared" si="24"/>
        <v>2.7947188921601427</v>
      </c>
      <c r="Q136" s="2">
        <f t="shared" si="25"/>
        <v>0.45528110783985731</v>
      </c>
      <c r="R136">
        <f t="shared" si="26"/>
        <v>0.20728088715588777</v>
      </c>
    </row>
    <row r="137" spans="1:18" x14ac:dyDescent="0.2">
      <c r="A137">
        <f>IF(tips!A137="Male",1,2)</f>
        <v>2</v>
      </c>
      <c r="B137">
        <f>IF(tips!B137="No",1,2)</f>
        <v>1</v>
      </c>
      <c r="C137">
        <f>IF(tips!D137="Dinner",1,2)</f>
        <v>2</v>
      </c>
      <c r="D137">
        <f>IF(tips!C137="Sun",1,IF(tips!C137="Fri",2,IF(tips!C137="Sat",3,IF(tips!C137="Thur",4))))</f>
        <v>4</v>
      </c>
      <c r="E137" s="2">
        <v>2</v>
      </c>
      <c r="F137" s="2">
        <v>8.51</v>
      </c>
      <c r="G137" s="8">
        <v>1.25</v>
      </c>
      <c r="H137" s="2"/>
      <c r="I137" s="3">
        <v>0.75944339705833919</v>
      </c>
      <c r="J137" s="3">
        <f t="shared" si="18"/>
        <v>7.4367076081372621E-2</v>
      </c>
      <c r="K137" s="3">
        <f t="shared" si="19"/>
        <v>-7.3687758526173666E-2</v>
      </c>
      <c r="L137" s="3">
        <f t="shared" si="20"/>
        <v>0.17745552547297233</v>
      </c>
      <c r="M137" s="3">
        <f t="shared" si="21"/>
        <v>-0.2139953712402721</v>
      </c>
      <c r="N137" s="3">
        <f t="shared" si="22"/>
        <v>0.34786623214719364</v>
      </c>
      <c r="O137" s="3">
        <f t="shared" si="23"/>
        <v>0.80312299686904187</v>
      </c>
      <c r="P137" s="8">
        <f t="shared" si="24"/>
        <v>1.8745720978624738</v>
      </c>
      <c r="Q137" s="2">
        <f t="shared" si="25"/>
        <v>-0.62457209786247381</v>
      </c>
      <c r="R137">
        <f t="shared" si="26"/>
        <v>0.39009030542833156</v>
      </c>
    </row>
    <row r="138" spans="1:18" x14ac:dyDescent="0.2">
      <c r="A138">
        <f>IF(tips!A138="Male",1,2)</f>
        <v>2</v>
      </c>
      <c r="B138">
        <f>IF(tips!B138="No",1,2)</f>
        <v>1</v>
      </c>
      <c r="C138">
        <f>IF(tips!D138="Dinner",1,2)</f>
        <v>2</v>
      </c>
      <c r="D138">
        <f>IF(tips!C138="Sun",1,IF(tips!C138="Fri",2,IF(tips!C138="Sat",3,IF(tips!C138="Thur",4))))</f>
        <v>4</v>
      </c>
      <c r="E138" s="2">
        <v>2</v>
      </c>
      <c r="F138" s="2">
        <v>10.33</v>
      </c>
      <c r="G138" s="8">
        <v>2</v>
      </c>
      <c r="H138" s="2"/>
      <c r="I138" s="3">
        <v>0.75944339705833919</v>
      </c>
      <c r="J138" s="3">
        <f t="shared" si="18"/>
        <v>7.4367076081372621E-2</v>
      </c>
      <c r="K138" s="3">
        <f t="shared" si="19"/>
        <v>-7.3687758526173666E-2</v>
      </c>
      <c r="L138" s="3">
        <f t="shared" si="20"/>
        <v>0.17745552547297233</v>
      </c>
      <c r="M138" s="3">
        <f t="shared" si="21"/>
        <v>-0.2139953712402721</v>
      </c>
      <c r="N138" s="3">
        <f t="shared" si="22"/>
        <v>0.34786623214719364</v>
      </c>
      <c r="O138" s="3">
        <f t="shared" si="23"/>
        <v>0.97488373180460663</v>
      </c>
      <c r="P138" s="8">
        <f t="shared" si="24"/>
        <v>2.0463328327980386</v>
      </c>
      <c r="Q138" s="2">
        <f t="shared" si="25"/>
        <v>-4.633283279803857E-2</v>
      </c>
      <c r="R138">
        <f t="shared" si="26"/>
        <v>2.1467313950909988E-3</v>
      </c>
    </row>
    <row r="139" spans="1:18" x14ac:dyDescent="0.2">
      <c r="A139">
        <f>IF(tips!A139="Male",1,2)</f>
        <v>2</v>
      </c>
      <c r="B139">
        <f>IF(tips!B139="No",1,2)</f>
        <v>1</v>
      </c>
      <c r="C139">
        <f>IF(tips!D139="Dinner",1,2)</f>
        <v>2</v>
      </c>
      <c r="D139">
        <f>IF(tips!C139="Sun",1,IF(tips!C139="Fri",2,IF(tips!C139="Sat",3,IF(tips!C139="Thur",4))))</f>
        <v>4</v>
      </c>
      <c r="E139" s="2">
        <v>2</v>
      </c>
      <c r="F139" s="2">
        <v>14.15</v>
      </c>
      <c r="G139" s="8">
        <v>2</v>
      </c>
      <c r="H139" s="2"/>
      <c r="I139" s="3">
        <v>0.75944339705833919</v>
      </c>
      <c r="J139" s="3">
        <f t="shared" si="18"/>
        <v>7.4367076081372621E-2</v>
      </c>
      <c r="K139" s="3">
        <f t="shared" si="19"/>
        <v>-7.3687758526173666E-2</v>
      </c>
      <c r="L139" s="3">
        <f t="shared" si="20"/>
        <v>0.17745552547297233</v>
      </c>
      <c r="M139" s="3">
        <f t="shared" si="21"/>
        <v>-0.2139953712402721</v>
      </c>
      <c r="N139" s="3">
        <f t="shared" si="22"/>
        <v>0.34786623214719364</v>
      </c>
      <c r="O139" s="3">
        <f t="shared" si="23"/>
        <v>1.335392527108924</v>
      </c>
      <c r="P139" s="8">
        <f t="shared" si="24"/>
        <v>2.4068416281023559</v>
      </c>
      <c r="Q139" s="2">
        <f t="shared" si="25"/>
        <v>-0.40684162810235591</v>
      </c>
      <c r="R139">
        <f t="shared" si="26"/>
        <v>0.16552011035697567</v>
      </c>
    </row>
    <row r="140" spans="1:18" x14ac:dyDescent="0.2">
      <c r="A140">
        <f>IF(tips!A140="Male",1,2)</f>
        <v>1</v>
      </c>
      <c r="B140">
        <f>IF(tips!B140="No",1,2)</f>
        <v>2</v>
      </c>
      <c r="C140">
        <f>IF(tips!D140="Dinner",1,2)</f>
        <v>2</v>
      </c>
      <c r="D140">
        <f>IF(tips!C140="Sun",1,IF(tips!C140="Fri",2,IF(tips!C140="Sat",3,IF(tips!C140="Thur",4))))</f>
        <v>4</v>
      </c>
      <c r="E140" s="2">
        <v>2</v>
      </c>
      <c r="F140" s="2">
        <v>16</v>
      </c>
      <c r="G140" s="8">
        <v>2</v>
      </c>
      <c r="H140" s="2"/>
      <c r="I140" s="3">
        <v>0.75944339705833919</v>
      </c>
      <c r="J140" s="3">
        <f t="shared" si="18"/>
        <v>3.7183538040686311E-2</v>
      </c>
      <c r="K140" s="3">
        <f t="shared" si="19"/>
        <v>-0.14737551705234733</v>
      </c>
      <c r="L140" s="3">
        <f t="shared" si="20"/>
        <v>0.17745552547297233</v>
      </c>
      <c r="M140" s="3">
        <f t="shared" si="21"/>
        <v>-0.2139953712402721</v>
      </c>
      <c r="N140" s="3">
        <f t="shared" si="22"/>
        <v>0.34786623214719364</v>
      </c>
      <c r="O140" s="3">
        <f t="shared" si="23"/>
        <v>1.50998448295002</v>
      </c>
      <c r="P140" s="8">
        <f t="shared" si="24"/>
        <v>2.470562287376592</v>
      </c>
      <c r="Q140" s="2">
        <f t="shared" si="25"/>
        <v>-0.470562287376592</v>
      </c>
      <c r="R140">
        <f t="shared" si="26"/>
        <v>0.22142886630109035</v>
      </c>
    </row>
    <row r="141" spans="1:18" x14ac:dyDescent="0.2">
      <c r="A141">
        <f>IF(tips!A141="Male",1,2)</f>
        <v>2</v>
      </c>
      <c r="B141">
        <f>IF(tips!B141="No",1,2)</f>
        <v>1</v>
      </c>
      <c r="C141">
        <f>IF(tips!D141="Dinner",1,2)</f>
        <v>2</v>
      </c>
      <c r="D141">
        <f>IF(tips!C141="Sun",1,IF(tips!C141="Fri",2,IF(tips!C141="Sat",3,IF(tips!C141="Thur",4))))</f>
        <v>4</v>
      </c>
      <c r="E141" s="2">
        <v>2</v>
      </c>
      <c r="F141" s="2">
        <v>13.16</v>
      </c>
      <c r="G141" s="8">
        <v>2.75</v>
      </c>
      <c r="H141" s="2"/>
      <c r="I141" s="3">
        <v>0.75944339705833919</v>
      </c>
      <c r="J141" s="3">
        <f t="shared" si="18"/>
        <v>7.4367076081372621E-2</v>
      </c>
      <c r="K141" s="3">
        <f t="shared" si="19"/>
        <v>-7.3687758526173666E-2</v>
      </c>
      <c r="L141" s="3">
        <f t="shared" si="20"/>
        <v>0.17745552547297233</v>
      </c>
      <c r="M141" s="3">
        <f t="shared" si="21"/>
        <v>-0.2139953712402721</v>
      </c>
      <c r="N141" s="3">
        <f t="shared" si="22"/>
        <v>0.34786623214719364</v>
      </c>
      <c r="O141" s="3">
        <f t="shared" si="23"/>
        <v>1.2419622372263914</v>
      </c>
      <c r="P141" s="8">
        <f t="shared" si="24"/>
        <v>2.3134113382198231</v>
      </c>
      <c r="Q141" s="2">
        <f t="shared" si="25"/>
        <v>0.43658866178017686</v>
      </c>
      <c r="R141">
        <f t="shared" si="26"/>
        <v>0.19060965959500567</v>
      </c>
    </row>
    <row r="142" spans="1:18" x14ac:dyDescent="0.2">
      <c r="A142">
        <f>IF(tips!A142="Male",1,2)</f>
        <v>2</v>
      </c>
      <c r="B142">
        <f>IF(tips!B142="No",1,2)</f>
        <v>1</v>
      </c>
      <c r="C142">
        <f>IF(tips!D142="Dinner",1,2)</f>
        <v>2</v>
      </c>
      <c r="D142">
        <f>IF(tips!C142="Sun",1,IF(tips!C142="Fri",2,IF(tips!C142="Sat",3,IF(tips!C142="Thur",4))))</f>
        <v>4</v>
      </c>
      <c r="E142" s="2">
        <v>2</v>
      </c>
      <c r="F142" s="2">
        <v>17.47</v>
      </c>
      <c r="G142" s="8">
        <v>3.5</v>
      </c>
      <c r="H142" s="2"/>
      <c r="I142" s="3">
        <v>0.75944339705833919</v>
      </c>
      <c r="J142" s="3">
        <f t="shared" si="18"/>
        <v>7.4367076081372621E-2</v>
      </c>
      <c r="K142" s="3">
        <f t="shared" si="19"/>
        <v>-7.3687758526173666E-2</v>
      </c>
      <c r="L142" s="3">
        <f t="shared" si="20"/>
        <v>0.17745552547297233</v>
      </c>
      <c r="M142" s="3">
        <f t="shared" si="21"/>
        <v>-0.2139953712402721</v>
      </c>
      <c r="N142" s="3">
        <f t="shared" si="22"/>
        <v>0.34786623214719364</v>
      </c>
      <c r="O142" s="3">
        <f t="shared" si="23"/>
        <v>1.6487143073210528</v>
      </c>
      <c r="P142" s="8">
        <f t="shared" si="24"/>
        <v>2.7201634083144848</v>
      </c>
      <c r="Q142" s="2">
        <f t="shared" si="25"/>
        <v>0.77983659168551522</v>
      </c>
      <c r="R142">
        <f t="shared" si="26"/>
        <v>0.60814510973168101</v>
      </c>
    </row>
    <row r="143" spans="1:18" x14ac:dyDescent="0.2">
      <c r="A143">
        <f>IF(tips!A143="Male",1,2)</f>
        <v>1</v>
      </c>
      <c r="B143">
        <f>IF(tips!B143="No",1,2)</f>
        <v>1</v>
      </c>
      <c r="C143">
        <f>IF(tips!D143="Dinner",1,2)</f>
        <v>2</v>
      </c>
      <c r="D143">
        <f>IF(tips!C143="Sun",1,IF(tips!C143="Fri",2,IF(tips!C143="Sat",3,IF(tips!C143="Thur",4))))</f>
        <v>4</v>
      </c>
      <c r="E143" s="2">
        <v>6</v>
      </c>
      <c r="F143" s="2">
        <v>34.299999999999997</v>
      </c>
      <c r="G143" s="8">
        <v>6.7</v>
      </c>
      <c r="H143" s="2"/>
      <c r="I143" s="3">
        <v>0.75944339705833919</v>
      </c>
      <c r="J143" s="3">
        <f t="shared" si="18"/>
        <v>3.7183538040686311E-2</v>
      </c>
      <c r="K143" s="3">
        <f t="shared" si="19"/>
        <v>-7.3687758526173666E-2</v>
      </c>
      <c r="L143" s="3">
        <f t="shared" si="20"/>
        <v>0.17745552547297233</v>
      </c>
      <c r="M143" s="3">
        <f t="shared" si="21"/>
        <v>-0.2139953712402721</v>
      </c>
      <c r="N143" s="3">
        <f t="shared" si="22"/>
        <v>1.0435986964415809</v>
      </c>
      <c r="O143" s="3">
        <f t="shared" si="23"/>
        <v>3.2370292353241052</v>
      </c>
      <c r="P143" s="8">
        <f t="shared" si="24"/>
        <v>4.9670272625712375</v>
      </c>
      <c r="Q143" s="2">
        <f t="shared" si="25"/>
        <v>1.7329727374287627</v>
      </c>
      <c r="R143">
        <f t="shared" si="26"/>
        <v>3.0031945086713394</v>
      </c>
    </row>
    <row r="144" spans="1:18" x14ac:dyDescent="0.2">
      <c r="A144">
        <f>IF(tips!A144="Male",1,2)</f>
        <v>1</v>
      </c>
      <c r="B144">
        <f>IF(tips!B144="No",1,2)</f>
        <v>1</v>
      </c>
      <c r="C144">
        <f>IF(tips!D144="Dinner",1,2)</f>
        <v>2</v>
      </c>
      <c r="D144">
        <f>IF(tips!C144="Sun",1,IF(tips!C144="Fri",2,IF(tips!C144="Sat",3,IF(tips!C144="Thur",4))))</f>
        <v>4</v>
      </c>
      <c r="E144" s="2">
        <v>5</v>
      </c>
      <c r="F144" s="2">
        <v>41.19</v>
      </c>
      <c r="G144" s="8">
        <v>5</v>
      </c>
      <c r="H144" s="2"/>
      <c r="I144" s="3">
        <v>0.75944339705833919</v>
      </c>
      <c r="J144" s="3">
        <f t="shared" si="18"/>
        <v>3.7183538040686311E-2</v>
      </c>
      <c r="K144" s="3">
        <f t="shared" si="19"/>
        <v>-7.3687758526173666E-2</v>
      </c>
      <c r="L144" s="3">
        <f t="shared" si="20"/>
        <v>0.17745552547297233</v>
      </c>
      <c r="M144" s="3">
        <f t="shared" si="21"/>
        <v>-0.2139953712402721</v>
      </c>
      <c r="N144" s="3">
        <f t="shared" si="22"/>
        <v>0.86966558036798414</v>
      </c>
      <c r="O144" s="3">
        <f t="shared" si="23"/>
        <v>3.8872663032944574</v>
      </c>
      <c r="P144" s="8">
        <f t="shared" si="24"/>
        <v>5.4433312144679933</v>
      </c>
      <c r="Q144" s="2">
        <f t="shared" si="25"/>
        <v>-0.44333121446799328</v>
      </c>
      <c r="R144">
        <f t="shared" si="26"/>
        <v>0.19654256572166587</v>
      </c>
    </row>
    <row r="145" spans="1:18" x14ac:dyDescent="0.2">
      <c r="A145">
        <f>IF(tips!A145="Male",1,2)</f>
        <v>2</v>
      </c>
      <c r="B145">
        <f>IF(tips!B145="No",1,2)</f>
        <v>1</v>
      </c>
      <c r="C145">
        <f>IF(tips!D145="Dinner",1,2)</f>
        <v>2</v>
      </c>
      <c r="D145">
        <f>IF(tips!C145="Sun",1,IF(tips!C145="Fri",2,IF(tips!C145="Sat",3,IF(tips!C145="Thur",4))))</f>
        <v>4</v>
      </c>
      <c r="E145" s="2">
        <v>6</v>
      </c>
      <c r="F145" s="2">
        <v>27.05</v>
      </c>
      <c r="G145" s="8">
        <v>5</v>
      </c>
      <c r="H145" s="2"/>
      <c r="I145" s="3">
        <v>0.75944339705833919</v>
      </c>
      <c r="J145" s="3">
        <f t="shared" si="18"/>
        <v>7.4367076081372621E-2</v>
      </c>
      <c r="K145" s="3">
        <f t="shared" si="19"/>
        <v>-7.3687758526173666E-2</v>
      </c>
      <c r="L145" s="3">
        <f t="shared" si="20"/>
        <v>0.17745552547297233</v>
      </c>
      <c r="M145" s="3">
        <f t="shared" si="21"/>
        <v>-0.2139953712402721</v>
      </c>
      <c r="N145" s="3">
        <f t="shared" si="22"/>
        <v>1.0435986964415809</v>
      </c>
      <c r="O145" s="3">
        <f t="shared" si="23"/>
        <v>2.5528175164873774</v>
      </c>
      <c r="P145" s="8">
        <f t="shared" si="24"/>
        <v>4.3199990817751965</v>
      </c>
      <c r="Q145" s="2">
        <f t="shared" si="25"/>
        <v>0.68000091822480346</v>
      </c>
      <c r="R145">
        <f t="shared" si="26"/>
        <v>0.46240124878657585</v>
      </c>
    </row>
    <row r="146" spans="1:18" x14ac:dyDescent="0.2">
      <c r="A146">
        <f>IF(tips!A146="Male",1,2)</f>
        <v>2</v>
      </c>
      <c r="B146">
        <f>IF(tips!B146="No",1,2)</f>
        <v>1</v>
      </c>
      <c r="C146">
        <f>IF(tips!D146="Dinner",1,2)</f>
        <v>2</v>
      </c>
      <c r="D146">
        <f>IF(tips!C146="Sun",1,IF(tips!C146="Fri",2,IF(tips!C146="Sat",3,IF(tips!C146="Thur",4))))</f>
        <v>4</v>
      </c>
      <c r="E146" s="2">
        <v>2</v>
      </c>
      <c r="F146" s="2">
        <v>16.43</v>
      </c>
      <c r="G146" s="8">
        <v>2.2999999999999998</v>
      </c>
      <c r="H146" s="2"/>
      <c r="I146" s="3">
        <v>0.75944339705833919</v>
      </c>
      <c r="J146" s="3">
        <f t="shared" si="18"/>
        <v>7.4367076081372621E-2</v>
      </c>
      <c r="K146" s="3">
        <f t="shared" si="19"/>
        <v>-7.3687758526173666E-2</v>
      </c>
      <c r="L146" s="3">
        <f t="shared" si="20"/>
        <v>0.17745552547297233</v>
      </c>
      <c r="M146" s="3">
        <f t="shared" si="21"/>
        <v>-0.2139953712402721</v>
      </c>
      <c r="N146" s="3">
        <f t="shared" si="22"/>
        <v>0.34786623214719364</v>
      </c>
      <c r="O146" s="3">
        <f t="shared" si="23"/>
        <v>1.5505653159293018</v>
      </c>
      <c r="P146" s="8">
        <f t="shared" si="24"/>
        <v>2.6220144169227337</v>
      </c>
      <c r="Q146" s="2">
        <f t="shared" si="25"/>
        <v>-0.32201441692273391</v>
      </c>
      <c r="R146">
        <f t="shared" si="26"/>
        <v>0.1036932847060883</v>
      </c>
    </row>
    <row r="147" spans="1:18" x14ac:dyDescent="0.2">
      <c r="A147">
        <f>IF(tips!A147="Male",1,2)</f>
        <v>2</v>
      </c>
      <c r="B147">
        <f>IF(tips!B147="No",1,2)</f>
        <v>1</v>
      </c>
      <c r="C147">
        <f>IF(tips!D147="Dinner",1,2)</f>
        <v>2</v>
      </c>
      <c r="D147">
        <f>IF(tips!C147="Sun",1,IF(tips!C147="Fri",2,IF(tips!C147="Sat",3,IF(tips!C147="Thur",4))))</f>
        <v>4</v>
      </c>
      <c r="E147" s="2">
        <v>2</v>
      </c>
      <c r="F147" s="2">
        <v>8.35</v>
      </c>
      <c r="G147" s="8">
        <v>1.5</v>
      </c>
      <c r="H147" s="2"/>
      <c r="I147" s="3">
        <v>0.75944339705833919</v>
      </c>
      <c r="J147" s="3">
        <f t="shared" si="18"/>
        <v>7.4367076081372621E-2</v>
      </c>
      <c r="K147" s="3">
        <f t="shared" si="19"/>
        <v>-7.3687758526173666E-2</v>
      </c>
      <c r="L147" s="3">
        <f t="shared" si="20"/>
        <v>0.17745552547297233</v>
      </c>
      <c r="M147" s="3">
        <f t="shared" si="21"/>
        <v>-0.2139953712402721</v>
      </c>
      <c r="N147" s="3">
        <f t="shared" si="22"/>
        <v>0.34786623214719364</v>
      </c>
      <c r="O147" s="3">
        <f t="shared" si="23"/>
        <v>0.78802315203954165</v>
      </c>
      <c r="P147" s="8">
        <f t="shared" si="24"/>
        <v>1.8594722530329735</v>
      </c>
      <c r="Q147" s="2">
        <f t="shared" si="25"/>
        <v>-0.35947225303297348</v>
      </c>
      <c r="R147">
        <f t="shared" si="26"/>
        <v>0.12922030070060211</v>
      </c>
    </row>
    <row r="148" spans="1:18" x14ac:dyDescent="0.2">
      <c r="A148">
        <f>IF(tips!A148="Male",1,2)</f>
        <v>2</v>
      </c>
      <c r="B148">
        <f>IF(tips!B148="No",1,2)</f>
        <v>1</v>
      </c>
      <c r="C148">
        <f>IF(tips!D148="Dinner",1,2)</f>
        <v>2</v>
      </c>
      <c r="D148">
        <f>IF(tips!C148="Sun",1,IF(tips!C148="Fri",2,IF(tips!C148="Sat",3,IF(tips!C148="Thur",4))))</f>
        <v>4</v>
      </c>
      <c r="E148" s="2">
        <v>3</v>
      </c>
      <c r="F148" s="2">
        <v>18.64</v>
      </c>
      <c r="G148" s="8">
        <v>1.36</v>
      </c>
      <c r="H148" s="2"/>
      <c r="I148" s="3">
        <v>0.75944339705833919</v>
      </c>
      <c r="J148" s="3">
        <f t="shared" si="18"/>
        <v>7.4367076081372621E-2</v>
      </c>
      <c r="K148" s="3">
        <f t="shared" si="19"/>
        <v>-7.3687758526173666E-2</v>
      </c>
      <c r="L148" s="3">
        <f t="shared" si="20"/>
        <v>0.17745552547297233</v>
      </c>
      <c r="M148" s="3">
        <f t="shared" si="21"/>
        <v>-0.2139953712402721</v>
      </c>
      <c r="N148" s="3">
        <f t="shared" si="22"/>
        <v>0.52179934822079044</v>
      </c>
      <c r="O148" s="3">
        <f t="shared" si="23"/>
        <v>1.7591319226367734</v>
      </c>
      <c r="P148" s="8">
        <f t="shared" si="24"/>
        <v>3.0045141397038022</v>
      </c>
      <c r="Q148" s="2">
        <f t="shared" si="25"/>
        <v>-1.6445141397038021</v>
      </c>
      <c r="R148">
        <f t="shared" si="26"/>
        <v>2.7044267556857364</v>
      </c>
    </row>
    <row r="149" spans="1:18" x14ac:dyDescent="0.2">
      <c r="A149">
        <f>IF(tips!A149="Male",1,2)</f>
        <v>2</v>
      </c>
      <c r="B149">
        <f>IF(tips!B149="No",1,2)</f>
        <v>1</v>
      </c>
      <c r="C149">
        <f>IF(tips!D149="Dinner",1,2)</f>
        <v>2</v>
      </c>
      <c r="D149">
        <f>IF(tips!C149="Sun",1,IF(tips!C149="Fri",2,IF(tips!C149="Sat",3,IF(tips!C149="Thur",4))))</f>
        <v>4</v>
      </c>
      <c r="E149" s="2">
        <v>2</v>
      </c>
      <c r="F149" s="2">
        <v>11.87</v>
      </c>
      <c r="G149" s="8">
        <v>1.63</v>
      </c>
      <c r="H149" s="2"/>
      <c r="I149" s="3">
        <v>0.75944339705833919</v>
      </c>
      <c r="J149" s="3">
        <f t="shared" si="18"/>
        <v>7.4367076081372621E-2</v>
      </c>
      <c r="K149" s="3">
        <f t="shared" si="19"/>
        <v>-7.3687758526173666E-2</v>
      </c>
      <c r="L149" s="3">
        <f t="shared" si="20"/>
        <v>0.17745552547297233</v>
      </c>
      <c r="M149" s="3">
        <f t="shared" si="21"/>
        <v>-0.2139953712402721</v>
      </c>
      <c r="N149" s="3">
        <f t="shared" si="22"/>
        <v>0.34786623214719364</v>
      </c>
      <c r="O149" s="3">
        <f t="shared" si="23"/>
        <v>1.1202197382885459</v>
      </c>
      <c r="P149" s="8">
        <f t="shared" si="24"/>
        <v>2.1916688392819781</v>
      </c>
      <c r="Q149" s="2">
        <f t="shared" si="25"/>
        <v>-0.56166883928197819</v>
      </c>
      <c r="R149">
        <f t="shared" si="26"/>
        <v>0.31547188502036466</v>
      </c>
    </row>
    <row r="150" spans="1:18" x14ac:dyDescent="0.2">
      <c r="A150">
        <f>IF(tips!A150="Male",1,2)</f>
        <v>1</v>
      </c>
      <c r="B150">
        <f>IF(tips!B150="No",1,2)</f>
        <v>1</v>
      </c>
      <c r="C150">
        <f>IF(tips!D150="Dinner",1,2)</f>
        <v>2</v>
      </c>
      <c r="D150">
        <f>IF(tips!C150="Sun",1,IF(tips!C150="Fri",2,IF(tips!C150="Sat",3,IF(tips!C150="Thur",4))))</f>
        <v>4</v>
      </c>
      <c r="E150" s="2">
        <v>2</v>
      </c>
      <c r="F150" s="2">
        <v>9.7799999999999994</v>
      </c>
      <c r="G150" s="8">
        <v>1.73</v>
      </c>
      <c r="H150" s="2"/>
      <c r="I150" s="3">
        <v>0.75944339705833919</v>
      </c>
      <c r="J150" s="3">
        <f t="shared" si="18"/>
        <v>3.7183538040686311E-2</v>
      </c>
      <c r="K150" s="3">
        <f t="shared" si="19"/>
        <v>-7.3687758526173666E-2</v>
      </c>
      <c r="L150" s="3">
        <f t="shared" si="20"/>
        <v>0.17745552547297233</v>
      </c>
      <c r="M150" s="3">
        <f t="shared" si="21"/>
        <v>-0.2139953712402721</v>
      </c>
      <c r="N150" s="3">
        <f t="shared" si="22"/>
        <v>0.34786623214719364</v>
      </c>
      <c r="O150" s="3">
        <f t="shared" si="23"/>
        <v>0.92297801520319966</v>
      </c>
      <c r="P150" s="8">
        <f t="shared" si="24"/>
        <v>1.9572435781559452</v>
      </c>
      <c r="Q150" s="2">
        <f t="shared" si="25"/>
        <v>-0.2272435781559452</v>
      </c>
      <c r="R150">
        <f t="shared" si="26"/>
        <v>5.1639643813117177E-2</v>
      </c>
    </row>
    <row r="151" spans="1:18" x14ac:dyDescent="0.2">
      <c r="A151">
        <f>IF(tips!A151="Male",1,2)</f>
        <v>1</v>
      </c>
      <c r="B151">
        <f>IF(tips!B151="No",1,2)</f>
        <v>1</v>
      </c>
      <c r="C151">
        <f>IF(tips!D151="Dinner",1,2)</f>
        <v>2</v>
      </c>
      <c r="D151">
        <f>IF(tips!C151="Sun",1,IF(tips!C151="Fri",2,IF(tips!C151="Sat",3,IF(tips!C151="Thur",4))))</f>
        <v>4</v>
      </c>
      <c r="E151" s="2">
        <v>2</v>
      </c>
      <c r="F151" s="2">
        <v>7.51</v>
      </c>
      <c r="G151" s="8">
        <v>2</v>
      </c>
      <c r="H151" s="2"/>
      <c r="I151" s="3">
        <v>0.75944339705833919</v>
      </c>
      <c r="J151" s="3">
        <f t="shared" si="18"/>
        <v>3.7183538040686311E-2</v>
      </c>
      <c r="K151" s="3">
        <f t="shared" si="19"/>
        <v>-7.3687758526173666E-2</v>
      </c>
      <c r="L151" s="3">
        <f t="shared" si="20"/>
        <v>0.17745552547297233</v>
      </c>
      <c r="M151" s="3">
        <f t="shared" si="21"/>
        <v>-0.2139953712402721</v>
      </c>
      <c r="N151" s="3">
        <f t="shared" si="22"/>
        <v>0.34786623214719364</v>
      </c>
      <c r="O151" s="3">
        <f t="shared" si="23"/>
        <v>0.70874896668466558</v>
      </c>
      <c r="P151" s="8">
        <f t="shared" si="24"/>
        <v>1.7430145296374111</v>
      </c>
      <c r="Q151" s="2">
        <f t="shared" si="25"/>
        <v>0.2569854703625889</v>
      </c>
      <c r="R151">
        <f t="shared" si="26"/>
        <v>6.6041531977481055E-2</v>
      </c>
    </row>
    <row r="152" spans="1:18" x14ac:dyDescent="0.2">
      <c r="A152">
        <f>IF(tips!A152="Male",1,2)</f>
        <v>1</v>
      </c>
      <c r="B152">
        <f>IF(tips!B152="No",1,2)</f>
        <v>1</v>
      </c>
      <c r="C152">
        <f>IF(tips!D152="Dinner",1,2)</f>
        <v>1</v>
      </c>
      <c r="D152">
        <f>IF(tips!C152="Sun",1,IF(tips!C152="Fri",2,IF(tips!C152="Sat",3,IF(tips!C152="Thur",4))))</f>
        <v>1</v>
      </c>
      <c r="E152" s="2">
        <v>2</v>
      </c>
      <c r="F152" s="2">
        <v>14.07</v>
      </c>
      <c r="G152" s="8">
        <v>2.5</v>
      </c>
      <c r="H152" s="2"/>
      <c r="I152" s="3">
        <v>0.75944339705833919</v>
      </c>
      <c r="J152" s="3">
        <f t="shared" si="18"/>
        <v>3.7183538040686311E-2</v>
      </c>
      <c r="K152" s="3">
        <f t="shared" si="19"/>
        <v>-7.3687758526173666E-2</v>
      </c>
      <c r="L152" s="3">
        <f t="shared" si="20"/>
        <v>8.8727762736486165E-2</v>
      </c>
      <c r="M152" s="3">
        <f t="shared" si="21"/>
        <v>-5.3498842810068024E-2</v>
      </c>
      <c r="N152" s="3">
        <f t="shared" si="22"/>
        <v>0.34786623214719364</v>
      </c>
      <c r="O152" s="3">
        <f t="shared" si="23"/>
        <v>1.3278426046941738</v>
      </c>
      <c r="P152" s="8">
        <f t="shared" si="24"/>
        <v>2.4338769333406374</v>
      </c>
      <c r="Q152" s="2">
        <f t="shared" si="25"/>
        <v>6.6123066659362628E-2</v>
      </c>
      <c r="R152">
        <f t="shared" si="26"/>
        <v>4.3722599444385134E-3</v>
      </c>
    </row>
    <row r="153" spans="1:18" x14ac:dyDescent="0.2">
      <c r="A153">
        <f>IF(tips!A153="Male",1,2)</f>
        <v>1</v>
      </c>
      <c r="B153">
        <f>IF(tips!B153="No",1,2)</f>
        <v>1</v>
      </c>
      <c r="C153">
        <f>IF(tips!D153="Dinner",1,2)</f>
        <v>1</v>
      </c>
      <c r="D153">
        <f>IF(tips!C153="Sun",1,IF(tips!C153="Fri",2,IF(tips!C153="Sat",3,IF(tips!C153="Thur",4))))</f>
        <v>1</v>
      </c>
      <c r="E153" s="2">
        <v>2</v>
      </c>
      <c r="F153" s="2">
        <v>13.13</v>
      </c>
      <c r="G153" s="8">
        <v>2</v>
      </c>
      <c r="H153" s="2"/>
      <c r="I153" s="3">
        <v>0.75944339705833919</v>
      </c>
      <c r="J153" s="3">
        <f t="shared" si="18"/>
        <v>3.7183538040686311E-2</v>
      </c>
      <c r="K153" s="3">
        <f t="shared" si="19"/>
        <v>-7.3687758526173666E-2</v>
      </c>
      <c r="L153" s="3">
        <f t="shared" si="20"/>
        <v>8.8727762736486165E-2</v>
      </c>
      <c r="M153" s="3">
        <f t="shared" si="21"/>
        <v>-5.3498842810068024E-2</v>
      </c>
      <c r="N153" s="3">
        <f t="shared" si="22"/>
        <v>0.34786623214719364</v>
      </c>
      <c r="O153" s="3">
        <f t="shared" si="23"/>
        <v>1.2391310163208602</v>
      </c>
      <c r="P153" s="8">
        <f t="shared" si="24"/>
        <v>2.3451653449673238</v>
      </c>
      <c r="Q153" s="2">
        <f t="shared" si="25"/>
        <v>-0.34516534496732376</v>
      </c>
      <c r="R153">
        <f t="shared" si="26"/>
        <v>0.11913911536641161</v>
      </c>
    </row>
    <row r="154" spans="1:18" x14ac:dyDescent="0.2">
      <c r="A154">
        <f>IF(tips!A154="Male",1,2)</f>
        <v>1</v>
      </c>
      <c r="B154">
        <f>IF(tips!B154="No",1,2)</f>
        <v>1</v>
      </c>
      <c r="C154">
        <f>IF(tips!D154="Dinner",1,2)</f>
        <v>1</v>
      </c>
      <c r="D154">
        <f>IF(tips!C154="Sun",1,IF(tips!C154="Fri",2,IF(tips!C154="Sat",3,IF(tips!C154="Thur",4))))</f>
        <v>1</v>
      </c>
      <c r="E154" s="2">
        <v>3</v>
      </c>
      <c r="F154" s="2">
        <v>17.260000000000002</v>
      </c>
      <c r="G154" s="8">
        <v>2.74</v>
      </c>
      <c r="H154" s="2"/>
      <c r="I154" s="3">
        <v>0.75944339705833919</v>
      </c>
      <c r="J154" s="3">
        <f t="shared" si="18"/>
        <v>3.7183538040686311E-2</v>
      </c>
      <c r="K154" s="3">
        <f t="shared" si="19"/>
        <v>-7.3687758526173666E-2</v>
      </c>
      <c r="L154" s="3">
        <f t="shared" si="20"/>
        <v>8.8727762736486165E-2</v>
      </c>
      <c r="M154" s="3">
        <f t="shared" si="21"/>
        <v>-5.3498842810068024E-2</v>
      </c>
      <c r="N154" s="3">
        <f t="shared" si="22"/>
        <v>0.52179934822079044</v>
      </c>
      <c r="O154" s="3">
        <f t="shared" si="23"/>
        <v>1.6288957609823342</v>
      </c>
      <c r="P154" s="8">
        <f t="shared" si="24"/>
        <v>2.9088632057023949</v>
      </c>
      <c r="Q154" s="2">
        <f t="shared" si="25"/>
        <v>-0.16886320570239466</v>
      </c>
      <c r="R154">
        <f t="shared" si="26"/>
        <v>2.8514782240089253E-2</v>
      </c>
    </row>
    <row r="155" spans="1:18" x14ac:dyDescent="0.2">
      <c r="A155">
        <f>IF(tips!A155="Male",1,2)</f>
        <v>1</v>
      </c>
      <c r="B155">
        <f>IF(tips!B155="No",1,2)</f>
        <v>1</v>
      </c>
      <c r="C155">
        <f>IF(tips!D155="Dinner",1,2)</f>
        <v>1</v>
      </c>
      <c r="D155">
        <f>IF(tips!C155="Sun",1,IF(tips!C155="Fri",2,IF(tips!C155="Sat",3,IF(tips!C155="Thur",4))))</f>
        <v>1</v>
      </c>
      <c r="E155" s="2">
        <v>4</v>
      </c>
      <c r="F155" s="2">
        <v>24.55</v>
      </c>
      <c r="G155" s="8">
        <v>2</v>
      </c>
      <c r="H155" s="2"/>
      <c r="I155" s="3">
        <v>0.75944339705833919</v>
      </c>
      <c r="J155" s="3">
        <f t="shared" si="18"/>
        <v>3.7183538040686311E-2</v>
      </c>
      <c r="K155" s="3">
        <f t="shared" si="19"/>
        <v>-7.3687758526173666E-2</v>
      </c>
      <c r="L155" s="3">
        <f t="shared" si="20"/>
        <v>8.8727762736486165E-2</v>
      </c>
      <c r="M155" s="3">
        <f t="shared" si="21"/>
        <v>-5.3498842810068024E-2</v>
      </c>
      <c r="N155" s="3">
        <f t="shared" si="22"/>
        <v>0.69573246429438729</v>
      </c>
      <c r="O155" s="3">
        <f t="shared" si="23"/>
        <v>2.3168824410264368</v>
      </c>
      <c r="P155" s="8">
        <f t="shared" si="24"/>
        <v>3.7707830018200941</v>
      </c>
      <c r="Q155" s="2">
        <f t="shared" si="25"/>
        <v>-1.7707830018200941</v>
      </c>
      <c r="R155">
        <f t="shared" si="26"/>
        <v>3.1356724395349831</v>
      </c>
    </row>
    <row r="156" spans="1:18" x14ac:dyDescent="0.2">
      <c r="A156">
        <f>IF(tips!A156="Male",1,2)</f>
        <v>1</v>
      </c>
      <c r="B156">
        <f>IF(tips!B156="No",1,2)</f>
        <v>1</v>
      </c>
      <c r="C156">
        <f>IF(tips!D156="Dinner",1,2)</f>
        <v>1</v>
      </c>
      <c r="D156">
        <f>IF(tips!C156="Sun",1,IF(tips!C156="Fri",2,IF(tips!C156="Sat",3,IF(tips!C156="Thur",4))))</f>
        <v>1</v>
      </c>
      <c r="E156" s="2">
        <v>4</v>
      </c>
      <c r="F156" s="2">
        <v>19.77</v>
      </c>
      <c r="G156" s="8">
        <v>2</v>
      </c>
      <c r="H156" s="2"/>
      <c r="I156" s="3">
        <v>0.75944339705833919</v>
      </c>
      <c r="J156" s="3">
        <f t="shared" si="18"/>
        <v>3.7183538040686311E-2</v>
      </c>
      <c r="K156" s="3">
        <f t="shared" si="19"/>
        <v>-7.3687758526173666E-2</v>
      </c>
      <c r="L156" s="3">
        <f t="shared" si="20"/>
        <v>8.8727762736486165E-2</v>
      </c>
      <c r="M156" s="3">
        <f t="shared" si="21"/>
        <v>-5.3498842810068024E-2</v>
      </c>
      <c r="N156" s="3">
        <f t="shared" si="22"/>
        <v>0.69573246429438729</v>
      </c>
      <c r="O156" s="3">
        <f t="shared" si="23"/>
        <v>1.8657745767451184</v>
      </c>
      <c r="P156" s="8">
        <f t="shared" si="24"/>
        <v>3.3196751375387756</v>
      </c>
      <c r="Q156" s="2">
        <f t="shared" si="25"/>
        <v>-1.3196751375387756</v>
      </c>
      <c r="R156">
        <f t="shared" si="26"/>
        <v>1.7415424686379863</v>
      </c>
    </row>
    <row r="157" spans="1:18" x14ac:dyDescent="0.2">
      <c r="A157">
        <f>IF(tips!A157="Male",1,2)</f>
        <v>2</v>
      </c>
      <c r="B157">
        <f>IF(tips!B157="No",1,2)</f>
        <v>1</v>
      </c>
      <c r="C157">
        <f>IF(tips!D157="Dinner",1,2)</f>
        <v>1</v>
      </c>
      <c r="D157">
        <f>IF(tips!C157="Sun",1,IF(tips!C157="Fri",2,IF(tips!C157="Sat",3,IF(tips!C157="Thur",4))))</f>
        <v>1</v>
      </c>
      <c r="E157" s="2">
        <v>5</v>
      </c>
      <c r="F157" s="2">
        <v>29.85</v>
      </c>
      <c r="G157" s="8">
        <v>5.14</v>
      </c>
      <c r="H157" s="2"/>
      <c r="I157" s="3">
        <v>0.75944339705833919</v>
      </c>
      <c r="J157" s="3">
        <f t="shared" si="18"/>
        <v>7.4367076081372621E-2</v>
      </c>
      <c r="K157" s="3">
        <f t="shared" si="19"/>
        <v>-7.3687758526173666E-2</v>
      </c>
      <c r="L157" s="3">
        <f t="shared" si="20"/>
        <v>8.8727762736486165E-2</v>
      </c>
      <c r="M157" s="3">
        <f t="shared" si="21"/>
        <v>-5.3498842810068024E-2</v>
      </c>
      <c r="N157" s="3">
        <f t="shared" si="22"/>
        <v>0.86966558036798414</v>
      </c>
      <c r="O157" s="3">
        <f t="shared" si="23"/>
        <v>2.8170648010036312</v>
      </c>
      <c r="P157" s="8">
        <f t="shared" si="24"/>
        <v>4.4820820159115717</v>
      </c>
      <c r="Q157" s="2">
        <f t="shared" si="25"/>
        <v>0.65791798408842794</v>
      </c>
      <c r="R157">
        <f t="shared" si="26"/>
        <v>0.43285607378698093</v>
      </c>
    </row>
    <row r="158" spans="1:18" x14ac:dyDescent="0.2">
      <c r="A158">
        <f>IF(tips!A158="Male",1,2)</f>
        <v>1</v>
      </c>
      <c r="B158">
        <f>IF(tips!B158="No",1,2)</f>
        <v>1</v>
      </c>
      <c r="C158">
        <f>IF(tips!D158="Dinner",1,2)</f>
        <v>1</v>
      </c>
      <c r="D158">
        <f>IF(tips!C158="Sun",1,IF(tips!C158="Fri",2,IF(tips!C158="Sat",3,IF(tips!C158="Thur",4))))</f>
        <v>1</v>
      </c>
      <c r="E158" s="2">
        <v>6</v>
      </c>
      <c r="F158" s="2">
        <v>48.17</v>
      </c>
      <c r="G158" s="8">
        <v>5</v>
      </c>
      <c r="H158" s="2"/>
      <c r="I158" s="3">
        <v>0.75944339705833919</v>
      </c>
      <c r="J158" s="3">
        <f t="shared" si="18"/>
        <v>3.7183538040686311E-2</v>
      </c>
      <c r="K158" s="3">
        <f t="shared" si="19"/>
        <v>-7.3687758526173666E-2</v>
      </c>
      <c r="L158" s="3">
        <f t="shared" si="20"/>
        <v>8.8727762736486165E-2</v>
      </c>
      <c r="M158" s="3">
        <f t="shared" si="21"/>
        <v>-5.3498842810068024E-2</v>
      </c>
      <c r="N158" s="3">
        <f t="shared" si="22"/>
        <v>1.0435986964415809</v>
      </c>
      <c r="O158" s="3">
        <f t="shared" si="23"/>
        <v>4.5459970339814042</v>
      </c>
      <c r="P158" s="8">
        <f t="shared" si="24"/>
        <v>6.3477638269222556</v>
      </c>
      <c r="Q158" s="2">
        <f t="shared" si="25"/>
        <v>-1.3477638269222556</v>
      </c>
      <c r="R158">
        <f t="shared" si="26"/>
        <v>1.8164673331601238</v>
      </c>
    </row>
    <row r="159" spans="1:18" x14ac:dyDescent="0.2">
      <c r="A159">
        <f>IF(tips!A159="Male",1,2)</f>
        <v>2</v>
      </c>
      <c r="B159">
        <f>IF(tips!B159="No",1,2)</f>
        <v>1</v>
      </c>
      <c r="C159">
        <f>IF(tips!D159="Dinner",1,2)</f>
        <v>1</v>
      </c>
      <c r="D159">
        <f>IF(tips!C159="Sun",1,IF(tips!C159="Fri",2,IF(tips!C159="Sat",3,IF(tips!C159="Thur",4))))</f>
        <v>1</v>
      </c>
      <c r="E159" s="2">
        <v>4</v>
      </c>
      <c r="F159" s="2">
        <v>25</v>
      </c>
      <c r="G159" s="8">
        <v>3.75</v>
      </c>
      <c r="H159" s="2"/>
      <c r="I159" s="3">
        <v>0.75944339705833919</v>
      </c>
      <c r="J159" s="3">
        <f t="shared" si="18"/>
        <v>7.4367076081372621E-2</v>
      </c>
      <c r="K159" s="3">
        <f t="shared" si="19"/>
        <v>-7.3687758526173666E-2</v>
      </c>
      <c r="L159" s="3">
        <f t="shared" si="20"/>
        <v>8.8727762736486165E-2</v>
      </c>
      <c r="M159" s="3">
        <f t="shared" si="21"/>
        <v>-5.3498842810068024E-2</v>
      </c>
      <c r="N159" s="3">
        <f t="shared" si="22"/>
        <v>0.69573246429438729</v>
      </c>
      <c r="O159" s="3">
        <f t="shared" si="23"/>
        <v>2.3593507546094061</v>
      </c>
      <c r="P159" s="8">
        <f t="shared" si="24"/>
        <v>3.8504348534437498</v>
      </c>
      <c r="Q159" s="2">
        <f t="shared" si="25"/>
        <v>-0.10043485344374981</v>
      </c>
      <c r="R159">
        <f t="shared" si="26"/>
        <v>1.0087159786267503E-2</v>
      </c>
    </row>
    <row r="160" spans="1:18" x14ac:dyDescent="0.2">
      <c r="A160">
        <f>IF(tips!A160="Male",1,2)</f>
        <v>2</v>
      </c>
      <c r="B160">
        <f>IF(tips!B160="No",1,2)</f>
        <v>1</v>
      </c>
      <c r="C160">
        <f>IF(tips!D160="Dinner",1,2)</f>
        <v>1</v>
      </c>
      <c r="D160">
        <f>IF(tips!C160="Sun",1,IF(tips!C160="Fri",2,IF(tips!C160="Sat",3,IF(tips!C160="Thur",4))))</f>
        <v>1</v>
      </c>
      <c r="E160" s="2">
        <v>2</v>
      </c>
      <c r="F160" s="2">
        <v>13.39</v>
      </c>
      <c r="G160" s="8">
        <v>2.61</v>
      </c>
      <c r="H160" s="2"/>
      <c r="I160" s="3">
        <v>0.75944339705833919</v>
      </c>
      <c r="J160" s="3">
        <f t="shared" si="18"/>
        <v>7.4367076081372621E-2</v>
      </c>
      <c r="K160" s="3">
        <f t="shared" si="19"/>
        <v>-7.3687758526173666E-2</v>
      </c>
      <c r="L160" s="3">
        <f t="shared" si="20"/>
        <v>8.8727762736486165E-2</v>
      </c>
      <c r="M160" s="3">
        <f t="shared" si="21"/>
        <v>-5.3498842810068024E-2</v>
      </c>
      <c r="N160" s="3">
        <f t="shared" si="22"/>
        <v>0.34786623214719364</v>
      </c>
      <c r="O160" s="3">
        <f t="shared" si="23"/>
        <v>1.263668264168798</v>
      </c>
      <c r="P160" s="8">
        <f t="shared" si="24"/>
        <v>2.4068861308559479</v>
      </c>
      <c r="Q160" s="2">
        <f t="shared" si="25"/>
        <v>0.20311386914405194</v>
      </c>
      <c r="R160">
        <f t="shared" si="26"/>
        <v>4.1255243838667056E-2</v>
      </c>
    </row>
    <row r="161" spans="1:18" x14ac:dyDescent="0.2">
      <c r="A161">
        <f>IF(tips!A161="Male",1,2)</f>
        <v>1</v>
      </c>
      <c r="B161">
        <f>IF(tips!B161="No",1,2)</f>
        <v>1</v>
      </c>
      <c r="C161">
        <f>IF(tips!D161="Dinner",1,2)</f>
        <v>1</v>
      </c>
      <c r="D161">
        <f>IF(tips!C161="Sun",1,IF(tips!C161="Fri",2,IF(tips!C161="Sat",3,IF(tips!C161="Thur",4))))</f>
        <v>1</v>
      </c>
      <c r="E161" s="2">
        <v>4</v>
      </c>
      <c r="F161" s="2">
        <v>16.489999999999998</v>
      </c>
      <c r="G161" s="8">
        <v>2</v>
      </c>
      <c r="H161" s="2"/>
      <c r="I161" s="3">
        <v>0.75944339705833919</v>
      </c>
      <c r="J161" s="3">
        <f t="shared" si="18"/>
        <v>3.7183538040686311E-2</v>
      </c>
      <c r="K161" s="3">
        <f t="shared" si="19"/>
        <v>-7.3687758526173666E-2</v>
      </c>
      <c r="L161" s="3">
        <f t="shared" si="20"/>
        <v>8.8727762736486165E-2</v>
      </c>
      <c r="M161" s="3">
        <f t="shared" si="21"/>
        <v>-5.3498842810068024E-2</v>
      </c>
      <c r="N161" s="3">
        <f t="shared" si="22"/>
        <v>0.69573246429438729</v>
      </c>
      <c r="O161" s="3">
        <f t="shared" si="23"/>
        <v>1.5562277577403643</v>
      </c>
      <c r="P161" s="8">
        <f t="shared" si="24"/>
        <v>3.0101283185340213</v>
      </c>
      <c r="Q161" s="2">
        <f t="shared" si="25"/>
        <v>-1.0101283185340213</v>
      </c>
      <c r="R161">
        <f t="shared" si="26"/>
        <v>1.0203592199043692</v>
      </c>
    </row>
    <row r="162" spans="1:18" x14ac:dyDescent="0.2">
      <c r="A162">
        <f>IF(tips!A162="Male",1,2)</f>
        <v>1</v>
      </c>
      <c r="B162">
        <f>IF(tips!B162="No",1,2)</f>
        <v>1</v>
      </c>
      <c r="C162">
        <f>IF(tips!D162="Dinner",1,2)</f>
        <v>1</v>
      </c>
      <c r="D162">
        <f>IF(tips!C162="Sun",1,IF(tips!C162="Fri",2,IF(tips!C162="Sat",3,IF(tips!C162="Thur",4))))</f>
        <v>1</v>
      </c>
      <c r="E162" s="2">
        <v>4</v>
      </c>
      <c r="F162" s="2">
        <v>21.5</v>
      </c>
      <c r="G162" s="8">
        <v>3.5</v>
      </c>
      <c r="H162" s="2"/>
      <c r="I162" s="3">
        <v>0.75944339705833919</v>
      </c>
      <c r="J162" s="3">
        <f t="shared" si="18"/>
        <v>3.7183538040686311E-2</v>
      </c>
      <c r="K162" s="3">
        <f t="shared" si="19"/>
        <v>-7.3687758526173666E-2</v>
      </c>
      <c r="L162" s="3">
        <f t="shared" si="20"/>
        <v>8.8727762736486165E-2</v>
      </c>
      <c r="M162" s="3">
        <f t="shared" si="21"/>
        <v>-5.3498842810068024E-2</v>
      </c>
      <c r="N162" s="3">
        <f t="shared" si="22"/>
        <v>0.69573246429438729</v>
      </c>
      <c r="O162" s="3">
        <f t="shared" si="23"/>
        <v>2.0290416489640895</v>
      </c>
      <c r="P162" s="8">
        <f t="shared" si="24"/>
        <v>3.4829422097577467</v>
      </c>
      <c r="Q162" s="2">
        <f t="shared" si="25"/>
        <v>1.705779024225329E-2</v>
      </c>
      <c r="R162">
        <f t="shared" si="26"/>
        <v>2.9096820794871154E-4</v>
      </c>
    </row>
    <row r="163" spans="1:18" x14ac:dyDescent="0.2">
      <c r="A163">
        <f>IF(tips!A163="Male",1,2)</f>
        <v>1</v>
      </c>
      <c r="B163">
        <f>IF(tips!B163="No",1,2)</f>
        <v>1</v>
      </c>
      <c r="C163">
        <f>IF(tips!D163="Dinner",1,2)</f>
        <v>1</v>
      </c>
      <c r="D163">
        <f>IF(tips!C163="Sun",1,IF(tips!C163="Fri",2,IF(tips!C163="Sat",3,IF(tips!C163="Thur",4))))</f>
        <v>1</v>
      </c>
      <c r="E163" s="2">
        <v>2</v>
      </c>
      <c r="F163" s="2">
        <v>12.66</v>
      </c>
      <c r="G163" s="8">
        <v>2.5</v>
      </c>
      <c r="H163" s="2"/>
      <c r="I163" s="3">
        <v>0.75944339705833919</v>
      </c>
      <c r="J163" s="3">
        <f t="shared" si="18"/>
        <v>3.7183538040686311E-2</v>
      </c>
      <c r="K163" s="3">
        <f t="shared" si="19"/>
        <v>-7.3687758526173666E-2</v>
      </c>
      <c r="L163" s="3">
        <f t="shared" si="20"/>
        <v>8.8727762736486165E-2</v>
      </c>
      <c r="M163" s="3">
        <f t="shared" si="21"/>
        <v>-5.3498842810068024E-2</v>
      </c>
      <c r="N163" s="3">
        <f t="shared" si="22"/>
        <v>0.34786623214719364</v>
      </c>
      <c r="O163" s="3">
        <f t="shared" si="23"/>
        <v>1.1947752221342034</v>
      </c>
      <c r="P163" s="8">
        <f t="shared" si="24"/>
        <v>2.300809550780667</v>
      </c>
      <c r="Q163" s="2">
        <f t="shared" si="25"/>
        <v>0.19919044921933304</v>
      </c>
      <c r="R163">
        <f t="shared" si="26"/>
        <v>3.9676835060199693E-2</v>
      </c>
    </row>
    <row r="164" spans="1:18" x14ac:dyDescent="0.2">
      <c r="A164">
        <f>IF(tips!A164="Male",1,2)</f>
        <v>2</v>
      </c>
      <c r="B164">
        <f>IF(tips!B164="No",1,2)</f>
        <v>1</v>
      </c>
      <c r="C164">
        <f>IF(tips!D164="Dinner",1,2)</f>
        <v>1</v>
      </c>
      <c r="D164">
        <f>IF(tips!C164="Sun",1,IF(tips!C164="Fri",2,IF(tips!C164="Sat",3,IF(tips!C164="Thur",4))))</f>
        <v>1</v>
      </c>
      <c r="E164" s="2">
        <v>3</v>
      </c>
      <c r="F164" s="2">
        <v>16.21</v>
      </c>
      <c r="G164" s="8">
        <v>2</v>
      </c>
      <c r="H164" s="2"/>
      <c r="I164" s="3">
        <v>0.75944339705833919</v>
      </c>
      <c r="J164" s="3">
        <f t="shared" si="18"/>
        <v>7.4367076081372621E-2</v>
      </c>
      <c r="K164" s="3">
        <f t="shared" si="19"/>
        <v>-7.3687758526173666E-2</v>
      </c>
      <c r="L164" s="3">
        <f t="shared" si="20"/>
        <v>8.8727762736486165E-2</v>
      </c>
      <c r="M164" s="3">
        <f t="shared" si="21"/>
        <v>-5.3498842810068024E-2</v>
      </c>
      <c r="N164" s="3">
        <f t="shared" si="22"/>
        <v>0.52179934822079044</v>
      </c>
      <c r="O164" s="3">
        <f t="shared" si="23"/>
        <v>1.529803029288739</v>
      </c>
      <c r="P164" s="8">
        <f t="shared" si="24"/>
        <v>2.8469540120494861</v>
      </c>
      <c r="Q164" s="2">
        <f t="shared" si="25"/>
        <v>-0.84695401204948606</v>
      </c>
      <c r="R164">
        <f t="shared" si="26"/>
        <v>0.71733109852672094</v>
      </c>
    </row>
    <row r="165" spans="1:18" x14ac:dyDescent="0.2">
      <c r="A165">
        <f>IF(tips!A165="Male",1,2)</f>
        <v>1</v>
      </c>
      <c r="B165">
        <f>IF(tips!B165="No",1,2)</f>
        <v>1</v>
      </c>
      <c r="C165">
        <f>IF(tips!D165="Dinner",1,2)</f>
        <v>1</v>
      </c>
      <c r="D165">
        <f>IF(tips!C165="Sun",1,IF(tips!C165="Fri",2,IF(tips!C165="Sat",3,IF(tips!C165="Thur",4))))</f>
        <v>1</v>
      </c>
      <c r="E165" s="2">
        <v>2</v>
      </c>
      <c r="F165" s="2">
        <v>13.81</v>
      </c>
      <c r="G165" s="8">
        <v>2</v>
      </c>
      <c r="H165" s="2"/>
      <c r="I165" s="3">
        <v>0.75944339705833919</v>
      </c>
      <c r="J165" s="3">
        <f t="shared" si="18"/>
        <v>3.7183538040686311E-2</v>
      </c>
      <c r="K165" s="3">
        <f t="shared" si="19"/>
        <v>-7.3687758526173666E-2</v>
      </c>
      <c r="L165" s="3">
        <f t="shared" si="20"/>
        <v>8.8727762736486165E-2</v>
      </c>
      <c r="M165" s="3">
        <f t="shared" si="21"/>
        <v>-5.3498842810068024E-2</v>
      </c>
      <c r="N165" s="3">
        <f t="shared" si="22"/>
        <v>0.34786623214719364</v>
      </c>
      <c r="O165" s="3">
        <f t="shared" si="23"/>
        <v>1.3033053568462361</v>
      </c>
      <c r="P165" s="8">
        <f t="shared" si="24"/>
        <v>2.4093396854926996</v>
      </c>
      <c r="Q165" s="2">
        <f t="shared" si="25"/>
        <v>-0.40933968549269961</v>
      </c>
      <c r="R165">
        <f t="shared" si="26"/>
        <v>0.16755897811926224</v>
      </c>
    </row>
    <row r="166" spans="1:18" x14ac:dyDescent="0.2">
      <c r="A166">
        <f>IF(tips!A166="Male",1,2)</f>
        <v>2</v>
      </c>
      <c r="B166">
        <f>IF(tips!B166="No",1,2)</f>
        <v>2</v>
      </c>
      <c r="C166">
        <f>IF(tips!D166="Dinner",1,2)</f>
        <v>1</v>
      </c>
      <c r="D166">
        <f>IF(tips!C166="Sun",1,IF(tips!C166="Fri",2,IF(tips!C166="Sat",3,IF(tips!C166="Thur",4))))</f>
        <v>1</v>
      </c>
      <c r="E166" s="2">
        <v>2</v>
      </c>
      <c r="F166" s="2">
        <v>17.510000000000002</v>
      </c>
      <c r="G166" s="8">
        <v>3</v>
      </c>
      <c r="H166" s="2"/>
      <c r="I166" s="3">
        <v>0.75944339705833919</v>
      </c>
      <c r="J166" s="3">
        <f t="shared" si="18"/>
        <v>7.4367076081372621E-2</v>
      </c>
      <c r="K166" s="3">
        <f t="shared" si="19"/>
        <v>-0.14737551705234733</v>
      </c>
      <c r="L166" s="3">
        <f t="shared" si="20"/>
        <v>8.8727762736486165E-2</v>
      </c>
      <c r="M166" s="3">
        <f t="shared" si="21"/>
        <v>-5.3498842810068024E-2</v>
      </c>
      <c r="N166" s="3">
        <f t="shared" si="22"/>
        <v>0.34786623214719364</v>
      </c>
      <c r="O166" s="3">
        <f t="shared" si="23"/>
        <v>1.6524892685284283</v>
      </c>
      <c r="P166" s="8">
        <f t="shared" si="24"/>
        <v>2.7220193766894045</v>
      </c>
      <c r="Q166" s="2">
        <f t="shared" si="25"/>
        <v>0.27798062331059548</v>
      </c>
      <c r="R166">
        <f t="shared" si="26"/>
        <v>7.7273226936147174E-2</v>
      </c>
    </row>
    <row r="167" spans="1:18" x14ac:dyDescent="0.2">
      <c r="A167">
        <f>IF(tips!A167="Male",1,2)</f>
        <v>1</v>
      </c>
      <c r="B167">
        <f>IF(tips!B167="No",1,2)</f>
        <v>1</v>
      </c>
      <c r="C167">
        <f>IF(tips!D167="Dinner",1,2)</f>
        <v>1</v>
      </c>
      <c r="D167">
        <f>IF(tips!C167="Sun",1,IF(tips!C167="Fri",2,IF(tips!C167="Sat",3,IF(tips!C167="Thur",4))))</f>
        <v>1</v>
      </c>
      <c r="E167" s="2">
        <v>3</v>
      </c>
      <c r="F167" s="2">
        <v>24.52</v>
      </c>
      <c r="G167" s="8">
        <v>3.48</v>
      </c>
      <c r="H167" s="2"/>
      <c r="I167" s="3">
        <v>0.75944339705833919</v>
      </c>
      <c r="J167" s="3">
        <f t="shared" si="18"/>
        <v>3.7183538040686311E-2</v>
      </c>
      <c r="K167" s="3">
        <f t="shared" si="19"/>
        <v>-7.3687758526173666E-2</v>
      </c>
      <c r="L167" s="3">
        <f t="shared" si="20"/>
        <v>8.8727762736486165E-2</v>
      </c>
      <c r="M167" s="3">
        <f t="shared" si="21"/>
        <v>-5.3498842810068024E-2</v>
      </c>
      <c r="N167" s="3">
        <f t="shared" si="22"/>
        <v>0.52179934822079044</v>
      </c>
      <c r="O167" s="3">
        <f t="shared" si="23"/>
        <v>2.3140512201209056</v>
      </c>
      <c r="P167" s="8">
        <f t="shared" si="24"/>
        <v>3.594018664840966</v>
      </c>
      <c r="Q167" s="2">
        <f t="shared" si="25"/>
        <v>-0.11401866484096601</v>
      </c>
      <c r="R167">
        <f t="shared" si="26"/>
        <v>1.3000255932116539E-2</v>
      </c>
    </row>
    <row r="168" spans="1:18" x14ac:dyDescent="0.2">
      <c r="A168">
        <f>IF(tips!A168="Male",1,2)</f>
        <v>1</v>
      </c>
      <c r="B168">
        <f>IF(tips!B168="No",1,2)</f>
        <v>1</v>
      </c>
      <c r="C168">
        <f>IF(tips!D168="Dinner",1,2)</f>
        <v>1</v>
      </c>
      <c r="D168">
        <f>IF(tips!C168="Sun",1,IF(tips!C168="Fri",2,IF(tips!C168="Sat",3,IF(tips!C168="Thur",4))))</f>
        <v>1</v>
      </c>
      <c r="E168" s="2">
        <v>2</v>
      </c>
      <c r="F168" s="2">
        <v>20.76</v>
      </c>
      <c r="G168" s="8">
        <v>2.2400000000000002</v>
      </c>
      <c r="H168" s="2"/>
      <c r="I168" s="3">
        <v>0.75944339705833919</v>
      </c>
      <c r="J168" s="3">
        <f t="shared" si="18"/>
        <v>3.7183538040686311E-2</v>
      </c>
      <c r="K168" s="3">
        <f t="shared" si="19"/>
        <v>-7.3687758526173666E-2</v>
      </c>
      <c r="L168" s="3">
        <f t="shared" si="20"/>
        <v>8.8727762736486165E-2</v>
      </c>
      <c r="M168" s="3">
        <f t="shared" si="21"/>
        <v>-5.3498842810068024E-2</v>
      </c>
      <c r="N168" s="3">
        <f t="shared" si="22"/>
        <v>0.34786623214719364</v>
      </c>
      <c r="O168" s="3">
        <f t="shared" si="23"/>
        <v>1.9592048666276511</v>
      </c>
      <c r="P168" s="8">
        <f t="shared" si="24"/>
        <v>3.0652391952741147</v>
      </c>
      <c r="Q168" s="2">
        <f t="shared" si="25"/>
        <v>-0.82523919527411449</v>
      </c>
      <c r="R168">
        <f t="shared" si="26"/>
        <v>0.68101972941666811</v>
      </c>
    </row>
    <row r="169" spans="1:18" x14ac:dyDescent="0.2">
      <c r="A169">
        <f>IF(tips!A169="Male",1,2)</f>
        <v>1</v>
      </c>
      <c r="B169">
        <f>IF(tips!B169="No",1,2)</f>
        <v>1</v>
      </c>
      <c r="C169">
        <f>IF(tips!D169="Dinner",1,2)</f>
        <v>1</v>
      </c>
      <c r="D169">
        <f>IF(tips!C169="Sun",1,IF(tips!C169="Fri",2,IF(tips!C169="Sat",3,IF(tips!C169="Thur",4))))</f>
        <v>1</v>
      </c>
      <c r="E169" s="2">
        <v>4</v>
      </c>
      <c r="F169" s="2">
        <v>31.71</v>
      </c>
      <c r="G169" s="8">
        <v>4.5</v>
      </c>
      <c r="H169" s="2"/>
      <c r="I169" s="3">
        <v>0.75944339705833919</v>
      </c>
      <c r="J169" s="3">
        <f t="shared" si="18"/>
        <v>3.7183538040686311E-2</v>
      </c>
      <c r="K169" s="3">
        <f t="shared" si="19"/>
        <v>-7.3687758526173666E-2</v>
      </c>
      <c r="L169" s="3">
        <f t="shared" si="20"/>
        <v>8.8727762736486165E-2</v>
      </c>
      <c r="M169" s="3">
        <f t="shared" si="21"/>
        <v>-5.3498842810068024E-2</v>
      </c>
      <c r="N169" s="3">
        <f t="shared" si="22"/>
        <v>0.69573246429438729</v>
      </c>
      <c r="O169" s="3">
        <f t="shared" si="23"/>
        <v>2.9926004971465709</v>
      </c>
      <c r="P169" s="8">
        <f t="shared" si="24"/>
        <v>4.4465010579402282</v>
      </c>
      <c r="Q169" s="2">
        <f t="shared" si="25"/>
        <v>5.3498942059771792E-2</v>
      </c>
      <c r="R169">
        <f t="shared" si="26"/>
        <v>2.8621368015148193E-3</v>
      </c>
    </row>
    <row r="170" spans="1:18" x14ac:dyDescent="0.2">
      <c r="A170">
        <f>IF(tips!A170="Male",1,2)</f>
        <v>2</v>
      </c>
      <c r="B170">
        <f>IF(tips!B170="No",1,2)</f>
        <v>2</v>
      </c>
      <c r="C170">
        <f>IF(tips!D170="Dinner",1,2)</f>
        <v>1</v>
      </c>
      <c r="D170">
        <f>IF(tips!C170="Sun",1,IF(tips!C170="Fri",2,IF(tips!C170="Sat",3,IF(tips!C170="Thur",4))))</f>
        <v>3</v>
      </c>
      <c r="E170" s="2">
        <v>2</v>
      </c>
      <c r="F170" s="2">
        <v>10.59</v>
      </c>
      <c r="G170" s="8">
        <v>1.61</v>
      </c>
      <c r="H170" s="2"/>
      <c r="I170" s="3">
        <v>0.75944339705833919</v>
      </c>
      <c r="J170" s="3">
        <f t="shared" si="18"/>
        <v>7.4367076081372621E-2</v>
      </c>
      <c r="K170" s="3">
        <f t="shared" si="19"/>
        <v>-0.14737551705234733</v>
      </c>
      <c r="L170" s="3">
        <f t="shared" si="20"/>
        <v>8.8727762736486165E-2</v>
      </c>
      <c r="M170" s="3">
        <f t="shared" si="21"/>
        <v>-0.16049652843020407</v>
      </c>
      <c r="N170" s="3">
        <f t="shared" si="22"/>
        <v>0.34786623214719364</v>
      </c>
      <c r="O170" s="3">
        <f t="shared" si="23"/>
        <v>0.99942097965254451</v>
      </c>
      <c r="P170" s="8">
        <f t="shared" si="24"/>
        <v>1.9619534021933847</v>
      </c>
      <c r="Q170" s="2">
        <f t="shared" si="25"/>
        <v>-0.35195340219338456</v>
      </c>
      <c r="R170">
        <f t="shared" si="26"/>
        <v>0.12387119731549831</v>
      </c>
    </row>
    <row r="171" spans="1:18" x14ac:dyDescent="0.2">
      <c r="A171">
        <f>IF(tips!A171="Male",1,2)</f>
        <v>2</v>
      </c>
      <c r="B171">
        <f>IF(tips!B171="No",1,2)</f>
        <v>2</v>
      </c>
      <c r="C171">
        <f>IF(tips!D171="Dinner",1,2)</f>
        <v>1</v>
      </c>
      <c r="D171">
        <f>IF(tips!C171="Sun",1,IF(tips!C171="Fri",2,IF(tips!C171="Sat",3,IF(tips!C171="Thur",4))))</f>
        <v>3</v>
      </c>
      <c r="E171" s="2">
        <v>2</v>
      </c>
      <c r="F171" s="2">
        <v>10.63</v>
      </c>
      <c r="G171" s="8">
        <v>2</v>
      </c>
      <c r="H171" s="2"/>
      <c r="I171" s="3">
        <v>0.75944339705833919</v>
      </c>
      <c r="J171" s="3">
        <f t="shared" si="18"/>
        <v>7.4367076081372621E-2</v>
      </c>
      <c r="K171" s="3">
        <f t="shared" si="19"/>
        <v>-0.14737551705234733</v>
      </c>
      <c r="L171" s="3">
        <f t="shared" si="20"/>
        <v>8.8727762736486165E-2</v>
      </c>
      <c r="M171" s="3">
        <f t="shared" si="21"/>
        <v>-0.16049652843020407</v>
      </c>
      <c r="N171" s="3">
        <f t="shared" si="22"/>
        <v>0.34786623214719364</v>
      </c>
      <c r="O171" s="3">
        <f t="shared" si="23"/>
        <v>1.0031959408599196</v>
      </c>
      <c r="P171" s="8">
        <f t="shared" si="24"/>
        <v>1.9657283634007598</v>
      </c>
      <c r="Q171" s="2">
        <f t="shared" si="25"/>
        <v>3.4271636599240152E-2</v>
      </c>
      <c r="R171">
        <f t="shared" si="26"/>
        <v>1.1745450751903771E-3</v>
      </c>
    </row>
    <row r="172" spans="1:18" x14ac:dyDescent="0.2">
      <c r="A172">
        <f>IF(tips!A172="Male",1,2)</f>
        <v>1</v>
      </c>
      <c r="B172">
        <f>IF(tips!B172="No",1,2)</f>
        <v>2</v>
      </c>
      <c r="C172">
        <f>IF(tips!D172="Dinner",1,2)</f>
        <v>1</v>
      </c>
      <c r="D172">
        <f>IF(tips!C172="Sun",1,IF(tips!C172="Fri",2,IF(tips!C172="Sat",3,IF(tips!C172="Thur",4))))</f>
        <v>3</v>
      </c>
      <c r="E172" s="2">
        <v>3</v>
      </c>
      <c r="F172" s="2">
        <v>50.81</v>
      </c>
      <c r="G172" s="8">
        <v>10</v>
      </c>
      <c r="H172" s="2"/>
      <c r="I172" s="3">
        <v>0.75944339705833919</v>
      </c>
      <c r="J172" s="3">
        <f t="shared" si="18"/>
        <v>3.7183538040686311E-2</v>
      </c>
      <c r="K172" s="3">
        <f t="shared" si="19"/>
        <v>-0.14737551705234733</v>
      </c>
      <c r="L172" s="3">
        <f t="shared" si="20"/>
        <v>8.8727762736486165E-2</v>
      </c>
      <c r="M172" s="3">
        <f t="shared" si="21"/>
        <v>-0.16049652843020407</v>
      </c>
      <c r="N172" s="3">
        <f t="shared" si="22"/>
        <v>0.52179934822079044</v>
      </c>
      <c r="O172" s="3">
        <f t="shared" si="23"/>
        <v>4.7951444736681577</v>
      </c>
      <c r="P172" s="8">
        <f t="shared" si="24"/>
        <v>5.894426474241909</v>
      </c>
      <c r="Q172" s="2">
        <f t="shared" si="25"/>
        <v>4.105573525758091</v>
      </c>
      <c r="R172">
        <f t="shared" si="26"/>
        <v>16.855733975405723</v>
      </c>
    </row>
    <row r="173" spans="1:18" x14ac:dyDescent="0.2">
      <c r="A173">
        <f>IF(tips!A173="Male",1,2)</f>
        <v>1</v>
      </c>
      <c r="B173">
        <f>IF(tips!B173="No",1,2)</f>
        <v>2</v>
      </c>
      <c r="C173">
        <f>IF(tips!D173="Dinner",1,2)</f>
        <v>1</v>
      </c>
      <c r="D173">
        <f>IF(tips!C173="Sun",1,IF(tips!C173="Fri",2,IF(tips!C173="Sat",3,IF(tips!C173="Thur",4))))</f>
        <v>3</v>
      </c>
      <c r="E173" s="2">
        <v>2</v>
      </c>
      <c r="F173" s="2">
        <v>15.81</v>
      </c>
      <c r="G173" s="8">
        <v>3.16</v>
      </c>
      <c r="H173" s="2"/>
      <c r="I173" s="3">
        <v>0.75944339705833919</v>
      </c>
      <c r="J173" s="3">
        <f t="shared" si="18"/>
        <v>3.7183538040686311E-2</v>
      </c>
      <c r="K173" s="3">
        <f t="shared" si="19"/>
        <v>-0.14737551705234733</v>
      </c>
      <c r="L173" s="3">
        <f t="shared" si="20"/>
        <v>8.8727762736486165E-2</v>
      </c>
      <c r="M173" s="3">
        <f t="shared" si="21"/>
        <v>-0.16049652843020407</v>
      </c>
      <c r="N173" s="3">
        <f t="shared" si="22"/>
        <v>0.34786623214719364</v>
      </c>
      <c r="O173" s="3">
        <f t="shared" si="23"/>
        <v>1.4920534172149886</v>
      </c>
      <c r="P173" s="8">
        <f t="shared" si="24"/>
        <v>2.4174023017151427</v>
      </c>
      <c r="Q173" s="2">
        <f t="shared" si="25"/>
        <v>0.74259769828485744</v>
      </c>
      <c r="R173">
        <f t="shared" si="26"/>
        <v>0.55145134149796815</v>
      </c>
    </row>
    <row r="174" spans="1:18" x14ac:dyDescent="0.2">
      <c r="A174">
        <f>IF(tips!A174="Male",1,2)</f>
        <v>1</v>
      </c>
      <c r="B174">
        <f>IF(tips!B174="No",1,2)</f>
        <v>2</v>
      </c>
      <c r="C174">
        <f>IF(tips!D174="Dinner",1,2)</f>
        <v>1</v>
      </c>
      <c r="D174">
        <f>IF(tips!C174="Sun",1,IF(tips!C174="Fri",2,IF(tips!C174="Sat",3,IF(tips!C174="Thur",4))))</f>
        <v>1</v>
      </c>
      <c r="E174" s="2">
        <v>2</v>
      </c>
      <c r="F174" s="2">
        <v>7.25</v>
      </c>
      <c r="G174" s="8">
        <v>5.15</v>
      </c>
      <c r="H174" s="2"/>
      <c r="I174" s="3">
        <v>0.75944339705833919</v>
      </c>
      <c r="J174" s="3">
        <f t="shared" si="18"/>
        <v>3.7183538040686311E-2</v>
      </c>
      <c r="K174" s="3">
        <f t="shared" si="19"/>
        <v>-0.14737551705234733</v>
      </c>
      <c r="L174" s="3">
        <f t="shared" si="20"/>
        <v>8.8727762736486165E-2</v>
      </c>
      <c r="M174" s="3">
        <f t="shared" si="21"/>
        <v>-5.3498842810068024E-2</v>
      </c>
      <c r="N174" s="3">
        <f t="shared" si="22"/>
        <v>0.34786623214719364</v>
      </c>
      <c r="O174" s="3">
        <f t="shared" si="23"/>
        <v>0.68421171883672782</v>
      </c>
      <c r="P174" s="8">
        <f t="shared" si="24"/>
        <v>1.7165582889570179</v>
      </c>
      <c r="Q174" s="2">
        <f t="shared" si="25"/>
        <v>3.4334417110429825</v>
      </c>
      <c r="R174">
        <f t="shared" si="26"/>
        <v>11.788521983129764</v>
      </c>
    </row>
    <row r="175" spans="1:18" x14ac:dyDescent="0.2">
      <c r="A175">
        <f>IF(tips!A175="Male",1,2)</f>
        <v>1</v>
      </c>
      <c r="B175">
        <f>IF(tips!B175="No",1,2)</f>
        <v>2</v>
      </c>
      <c r="C175">
        <f>IF(tips!D175="Dinner",1,2)</f>
        <v>1</v>
      </c>
      <c r="D175">
        <f>IF(tips!C175="Sun",1,IF(tips!C175="Fri",2,IF(tips!C175="Sat",3,IF(tips!C175="Thur",4))))</f>
        <v>1</v>
      </c>
      <c r="E175" s="2">
        <v>2</v>
      </c>
      <c r="F175" s="2">
        <v>31.85</v>
      </c>
      <c r="G175" s="8">
        <v>3.18</v>
      </c>
      <c r="H175" s="2"/>
      <c r="I175" s="3">
        <v>0.75944339705833919</v>
      </c>
      <c r="J175" s="3">
        <f t="shared" si="18"/>
        <v>3.7183538040686311E-2</v>
      </c>
      <c r="K175" s="3">
        <f t="shared" si="19"/>
        <v>-0.14737551705234733</v>
      </c>
      <c r="L175" s="3">
        <f t="shared" si="20"/>
        <v>8.8727762736486165E-2</v>
      </c>
      <c r="M175" s="3">
        <f t="shared" si="21"/>
        <v>-5.3498842810068024E-2</v>
      </c>
      <c r="N175" s="3">
        <f t="shared" si="22"/>
        <v>0.34786623214719364</v>
      </c>
      <c r="O175" s="3">
        <f t="shared" si="23"/>
        <v>3.0058128613723838</v>
      </c>
      <c r="P175" s="8">
        <f t="shared" si="24"/>
        <v>4.0381594314926739</v>
      </c>
      <c r="Q175" s="2">
        <f t="shared" si="25"/>
        <v>-0.85815943149267371</v>
      </c>
      <c r="R175">
        <f t="shared" si="26"/>
        <v>0.73643760985982898</v>
      </c>
    </row>
    <row r="176" spans="1:18" x14ac:dyDescent="0.2">
      <c r="A176">
        <f>IF(tips!A176="Male",1,2)</f>
        <v>1</v>
      </c>
      <c r="B176">
        <f>IF(tips!B176="No",1,2)</f>
        <v>2</v>
      </c>
      <c r="C176">
        <f>IF(tips!D176="Dinner",1,2)</f>
        <v>1</v>
      </c>
      <c r="D176">
        <f>IF(tips!C176="Sun",1,IF(tips!C176="Fri",2,IF(tips!C176="Sat",3,IF(tips!C176="Thur",4))))</f>
        <v>1</v>
      </c>
      <c r="E176" s="2">
        <v>2</v>
      </c>
      <c r="F176" s="2">
        <v>16.82</v>
      </c>
      <c r="G176" s="8">
        <v>4</v>
      </c>
      <c r="H176" s="2"/>
      <c r="I176" s="3">
        <v>0.75944339705833919</v>
      </c>
      <c r="J176" s="3">
        <f t="shared" si="18"/>
        <v>3.7183538040686311E-2</v>
      </c>
      <c r="K176" s="3">
        <f t="shared" si="19"/>
        <v>-0.14737551705234733</v>
      </c>
      <c r="L176" s="3">
        <f t="shared" si="20"/>
        <v>8.8727762736486165E-2</v>
      </c>
      <c r="M176" s="3">
        <f t="shared" si="21"/>
        <v>-5.3498842810068024E-2</v>
      </c>
      <c r="N176" s="3">
        <f t="shared" si="22"/>
        <v>0.34786623214719364</v>
      </c>
      <c r="O176" s="3">
        <f t="shared" si="23"/>
        <v>1.5873711877012084</v>
      </c>
      <c r="P176" s="8">
        <f t="shared" si="24"/>
        <v>2.6197177578214985</v>
      </c>
      <c r="Q176" s="2">
        <f t="shared" si="25"/>
        <v>1.3802822421785015</v>
      </c>
      <c r="R176">
        <f t="shared" si="26"/>
        <v>1.9051790680733114</v>
      </c>
    </row>
    <row r="177" spans="1:18" x14ac:dyDescent="0.2">
      <c r="A177">
        <f>IF(tips!A177="Male",1,2)</f>
        <v>1</v>
      </c>
      <c r="B177">
        <f>IF(tips!B177="No",1,2)</f>
        <v>2</v>
      </c>
      <c r="C177">
        <f>IF(tips!D177="Dinner",1,2)</f>
        <v>1</v>
      </c>
      <c r="D177">
        <f>IF(tips!C177="Sun",1,IF(tips!C177="Fri",2,IF(tips!C177="Sat",3,IF(tips!C177="Thur",4))))</f>
        <v>1</v>
      </c>
      <c r="E177" s="2">
        <v>2</v>
      </c>
      <c r="F177" s="2">
        <v>32.9</v>
      </c>
      <c r="G177" s="8">
        <v>3.11</v>
      </c>
      <c r="H177" s="2"/>
      <c r="I177" s="3">
        <v>0.75944339705833919</v>
      </c>
      <c r="J177" s="3">
        <f t="shared" si="18"/>
        <v>3.7183538040686311E-2</v>
      </c>
      <c r="K177" s="3">
        <f t="shared" si="19"/>
        <v>-0.14737551705234733</v>
      </c>
      <c r="L177" s="3">
        <f t="shared" si="20"/>
        <v>8.8727762736486165E-2</v>
      </c>
      <c r="M177" s="3">
        <f t="shared" si="21"/>
        <v>-5.3498842810068024E-2</v>
      </c>
      <c r="N177" s="3">
        <f t="shared" si="22"/>
        <v>0.34786623214719364</v>
      </c>
      <c r="O177" s="3">
        <f t="shared" si="23"/>
        <v>3.1049055930659786</v>
      </c>
      <c r="P177" s="8">
        <f t="shared" si="24"/>
        <v>4.1372521631862682</v>
      </c>
      <c r="Q177" s="2">
        <f t="shared" si="25"/>
        <v>-1.0272521631862683</v>
      </c>
      <c r="R177">
        <f t="shared" si="26"/>
        <v>1.0552470067708677</v>
      </c>
    </row>
    <row r="178" spans="1:18" x14ac:dyDescent="0.2">
      <c r="A178">
        <f>IF(tips!A178="Male",1,2)</f>
        <v>1</v>
      </c>
      <c r="B178">
        <f>IF(tips!B178="No",1,2)</f>
        <v>2</v>
      </c>
      <c r="C178">
        <f>IF(tips!D178="Dinner",1,2)</f>
        <v>1</v>
      </c>
      <c r="D178">
        <f>IF(tips!C178="Sun",1,IF(tips!C178="Fri",2,IF(tips!C178="Sat",3,IF(tips!C178="Thur",4))))</f>
        <v>1</v>
      </c>
      <c r="E178" s="2">
        <v>2</v>
      </c>
      <c r="F178" s="2">
        <v>17.89</v>
      </c>
      <c r="G178" s="8">
        <v>2</v>
      </c>
      <c r="H178" s="2"/>
      <c r="I178" s="3">
        <v>0.75944339705833919</v>
      </c>
      <c r="J178" s="3">
        <f t="shared" si="18"/>
        <v>3.7183538040686311E-2</v>
      </c>
      <c r="K178" s="3">
        <f t="shared" si="19"/>
        <v>-0.14737551705234733</v>
      </c>
      <c r="L178" s="3">
        <f t="shared" si="20"/>
        <v>8.8727762736486165E-2</v>
      </c>
      <c r="M178" s="3">
        <f t="shared" si="21"/>
        <v>-5.3498842810068024E-2</v>
      </c>
      <c r="N178" s="3">
        <f t="shared" si="22"/>
        <v>0.34786623214719364</v>
      </c>
      <c r="O178" s="3">
        <f t="shared" si="23"/>
        <v>1.6883513999984912</v>
      </c>
      <c r="P178" s="8">
        <f t="shared" si="24"/>
        <v>2.7206979701187812</v>
      </c>
      <c r="Q178" s="2">
        <f t="shared" si="25"/>
        <v>-0.72069797011878123</v>
      </c>
      <c r="R178">
        <f t="shared" si="26"/>
        <v>0.51940556413333172</v>
      </c>
    </row>
    <row r="179" spans="1:18" x14ac:dyDescent="0.2">
      <c r="A179">
        <f>IF(tips!A179="Male",1,2)</f>
        <v>1</v>
      </c>
      <c r="B179">
        <f>IF(tips!B179="No",1,2)</f>
        <v>2</v>
      </c>
      <c r="C179">
        <f>IF(tips!D179="Dinner",1,2)</f>
        <v>1</v>
      </c>
      <c r="D179">
        <f>IF(tips!C179="Sun",1,IF(tips!C179="Fri",2,IF(tips!C179="Sat",3,IF(tips!C179="Thur",4))))</f>
        <v>1</v>
      </c>
      <c r="E179" s="2">
        <v>2</v>
      </c>
      <c r="F179" s="2">
        <v>14.48</v>
      </c>
      <c r="G179" s="8">
        <v>2</v>
      </c>
      <c r="H179" s="2"/>
      <c r="I179" s="3">
        <v>0.75944339705833919</v>
      </c>
      <c r="J179" s="3">
        <f t="shared" si="18"/>
        <v>3.7183538040686311E-2</v>
      </c>
      <c r="K179" s="3">
        <f t="shared" si="19"/>
        <v>-0.14737551705234733</v>
      </c>
      <c r="L179" s="3">
        <f t="shared" si="20"/>
        <v>8.8727762736486165E-2</v>
      </c>
      <c r="M179" s="3">
        <f t="shared" si="21"/>
        <v>-5.3498842810068024E-2</v>
      </c>
      <c r="N179" s="3">
        <f t="shared" si="22"/>
        <v>0.34786623214719364</v>
      </c>
      <c r="O179" s="3">
        <f t="shared" si="23"/>
        <v>1.3665359570697682</v>
      </c>
      <c r="P179" s="8">
        <f t="shared" si="24"/>
        <v>2.3988825271900582</v>
      </c>
      <c r="Q179" s="2">
        <f t="shared" si="25"/>
        <v>-0.39888252719005823</v>
      </c>
      <c r="R179">
        <f t="shared" si="26"/>
        <v>0.15910727049752754</v>
      </c>
    </row>
    <row r="180" spans="1:18" x14ac:dyDescent="0.2">
      <c r="A180">
        <f>IF(tips!A180="Male",1,2)</f>
        <v>2</v>
      </c>
      <c r="B180">
        <f>IF(tips!B180="No",1,2)</f>
        <v>2</v>
      </c>
      <c r="C180">
        <f>IF(tips!D180="Dinner",1,2)</f>
        <v>1</v>
      </c>
      <c r="D180">
        <f>IF(tips!C180="Sun",1,IF(tips!C180="Fri",2,IF(tips!C180="Sat",3,IF(tips!C180="Thur",4))))</f>
        <v>1</v>
      </c>
      <c r="E180" s="2">
        <v>2</v>
      </c>
      <c r="F180" s="2">
        <v>9.6</v>
      </c>
      <c r="G180" s="8">
        <v>4</v>
      </c>
      <c r="H180" s="2"/>
      <c r="I180" s="3">
        <v>0.75944339705833919</v>
      </c>
      <c r="J180" s="3">
        <f t="shared" si="18"/>
        <v>7.4367076081372621E-2</v>
      </c>
      <c r="K180" s="3">
        <f t="shared" si="19"/>
        <v>-0.14737551705234733</v>
      </c>
      <c r="L180" s="3">
        <f t="shared" si="20"/>
        <v>8.8727762736486165E-2</v>
      </c>
      <c r="M180" s="3">
        <f t="shared" si="21"/>
        <v>-5.3498842810068024E-2</v>
      </c>
      <c r="N180" s="3">
        <f t="shared" si="22"/>
        <v>0.34786623214719364</v>
      </c>
      <c r="O180" s="3">
        <f t="shared" si="23"/>
        <v>0.90599068977001196</v>
      </c>
      <c r="P180" s="8">
        <f t="shared" si="24"/>
        <v>1.9755207979309883</v>
      </c>
      <c r="Q180" s="2">
        <f t="shared" si="25"/>
        <v>2.0244792020690117</v>
      </c>
      <c r="R180">
        <f t="shared" si="26"/>
        <v>4.098516039609982</v>
      </c>
    </row>
    <row r="181" spans="1:18" x14ac:dyDescent="0.2">
      <c r="A181">
        <f>IF(tips!A181="Male",1,2)</f>
        <v>1</v>
      </c>
      <c r="B181">
        <f>IF(tips!B181="No",1,2)</f>
        <v>2</v>
      </c>
      <c r="C181">
        <f>IF(tips!D181="Dinner",1,2)</f>
        <v>1</v>
      </c>
      <c r="D181">
        <f>IF(tips!C181="Sun",1,IF(tips!C181="Fri",2,IF(tips!C181="Sat",3,IF(tips!C181="Thur",4))))</f>
        <v>1</v>
      </c>
      <c r="E181" s="2">
        <v>2</v>
      </c>
      <c r="F181" s="2">
        <v>34.630000000000003</v>
      </c>
      <c r="G181" s="8">
        <v>3.55</v>
      </c>
      <c r="H181" s="2"/>
      <c r="I181" s="3">
        <v>0.75944339705833919</v>
      </c>
      <c r="J181" s="3">
        <f t="shared" si="18"/>
        <v>3.7183538040686311E-2</v>
      </c>
      <c r="K181" s="3">
        <f t="shared" si="19"/>
        <v>-0.14737551705234733</v>
      </c>
      <c r="L181" s="3">
        <f t="shared" si="20"/>
        <v>8.8727762736486165E-2</v>
      </c>
      <c r="M181" s="3">
        <f t="shared" si="21"/>
        <v>-5.3498842810068024E-2</v>
      </c>
      <c r="N181" s="3">
        <f t="shared" si="22"/>
        <v>0.34786623214719364</v>
      </c>
      <c r="O181" s="3">
        <f t="shared" si="23"/>
        <v>3.2681726652849497</v>
      </c>
      <c r="P181" s="8">
        <f t="shared" si="24"/>
        <v>4.3005192354052397</v>
      </c>
      <c r="Q181" s="2">
        <f t="shared" si="25"/>
        <v>-0.7505192354052399</v>
      </c>
      <c r="R181">
        <f t="shared" si="26"/>
        <v>0.56327912271326586</v>
      </c>
    </row>
    <row r="182" spans="1:18" x14ac:dyDescent="0.2">
      <c r="A182">
        <f>IF(tips!A182="Male",1,2)</f>
        <v>1</v>
      </c>
      <c r="B182">
        <f>IF(tips!B182="No",1,2)</f>
        <v>2</v>
      </c>
      <c r="C182">
        <f>IF(tips!D182="Dinner",1,2)</f>
        <v>1</v>
      </c>
      <c r="D182">
        <f>IF(tips!C182="Sun",1,IF(tips!C182="Fri",2,IF(tips!C182="Sat",3,IF(tips!C182="Thur",4))))</f>
        <v>1</v>
      </c>
      <c r="E182" s="2">
        <v>4</v>
      </c>
      <c r="F182" s="2">
        <v>34.65</v>
      </c>
      <c r="G182" s="8">
        <v>3.68</v>
      </c>
      <c r="H182" s="2"/>
      <c r="I182" s="3">
        <v>0.75944339705833919</v>
      </c>
      <c r="J182" s="3">
        <f t="shared" si="18"/>
        <v>3.7183538040686311E-2</v>
      </c>
      <c r="K182" s="3">
        <f t="shared" si="19"/>
        <v>-0.14737551705234733</v>
      </c>
      <c r="L182" s="3">
        <f t="shared" si="20"/>
        <v>8.8727762736486165E-2</v>
      </c>
      <c r="M182" s="3">
        <f t="shared" si="21"/>
        <v>-5.3498842810068024E-2</v>
      </c>
      <c r="N182" s="3">
        <f t="shared" si="22"/>
        <v>0.69573246429438729</v>
      </c>
      <c r="O182" s="3">
        <f t="shared" si="23"/>
        <v>3.2700601458886367</v>
      </c>
      <c r="P182" s="8">
        <f t="shared" si="24"/>
        <v>4.65027294815612</v>
      </c>
      <c r="Q182" s="2">
        <f t="shared" si="25"/>
        <v>-0.97027294815611986</v>
      </c>
      <c r="R182">
        <f t="shared" si="26"/>
        <v>0.94142959392356851</v>
      </c>
    </row>
    <row r="183" spans="1:18" x14ac:dyDescent="0.2">
      <c r="A183">
        <f>IF(tips!A183="Male",1,2)</f>
        <v>1</v>
      </c>
      <c r="B183">
        <f>IF(tips!B183="No",1,2)</f>
        <v>2</v>
      </c>
      <c r="C183">
        <f>IF(tips!D183="Dinner",1,2)</f>
        <v>1</v>
      </c>
      <c r="D183">
        <f>IF(tips!C183="Sun",1,IF(tips!C183="Fri",2,IF(tips!C183="Sat",3,IF(tips!C183="Thur",4))))</f>
        <v>1</v>
      </c>
      <c r="E183" s="2">
        <v>2</v>
      </c>
      <c r="F183" s="2">
        <v>23.33</v>
      </c>
      <c r="G183" s="8">
        <v>5.65</v>
      </c>
      <c r="H183" s="2"/>
      <c r="I183" s="3">
        <v>0.75944339705833919</v>
      </c>
      <c r="J183" s="3">
        <f t="shared" si="18"/>
        <v>3.7183538040686311E-2</v>
      </c>
      <c r="K183" s="3">
        <f t="shared" si="19"/>
        <v>-0.14737551705234733</v>
      </c>
      <c r="L183" s="3">
        <f t="shared" si="20"/>
        <v>8.8727762736486165E-2</v>
      </c>
      <c r="M183" s="3">
        <f t="shared" si="21"/>
        <v>-5.3498842810068024E-2</v>
      </c>
      <c r="N183" s="3">
        <f t="shared" si="22"/>
        <v>0.34786623214719364</v>
      </c>
      <c r="O183" s="3">
        <f t="shared" si="23"/>
        <v>2.2017461242014975</v>
      </c>
      <c r="P183" s="8">
        <f t="shared" si="24"/>
        <v>3.2340926943217876</v>
      </c>
      <c r="Q183" s="2">
        <f t="shared" si="25"/>
        <v>2.4159073056782128</v>
      </c>
      <c r="R183">
        <f t="shared" si="26"/>
        <v>5.8366081096293616</v>
      </c>
    </row>
    <row r="184" spans="1:18" x14ac:dyDescent="0.2">
      <c r="A184">
        <f>IF(tips!A184="Male",1,2)</f>
        <v>1</v>
      </c>
      <c r="B184">
        <f>IF(tips!B184="No",1,2)</f>
        <v>2</v>
      </c>
      <c r="C184">
        <f>IF(tips!D184="Dinner",1,2)</f>
        <v>1</v>
      </c>
      <c r="D184">
        <f>IF(tips!C184="Sun",1,IF(tips!C184="Fri",2,IF(tips!C184="Sat",3,IF(tips!C184="Thur",4))))</f>
        <v>1</v>
      </c>
      <c r="E184" s="2">
        <v>3</v>
      </c>
      <c r="F184" s="2">
        <v>45.35</v>
      </c>
      <c r="G184" s="8">
        <v>3.5</v>
      </c>
      <c r="H184" s="2"/>
      <c r="I184" s="3">
        <v>0.75944339705833919</v>
      </c>
      <c r="J184" s="3">
        <f t="shared" si="18"/>
        <v>3.7183538040686311E-2</v>
      </c>
      <c r="K184" s="3">
        <f t="shared" si="19"/>
        <v>-0.14737551705234733</v>
      </c>
      <c r="L184" s="3">
        <f t="shared" si="20"/>
        <v>8.8727762736486165E-2</v>
      </c>
      <c r="M184" s="3">
        <f t="shared" si="21"/>
        <v>-5.3498842810068024E-2</v>
      </c>
      <c r="N184" s="3">
        <f t="shared" si="22"/>
        <v>0.52179934822079044</v>
      </c>
      <c r="O184" s="3">
        <f t="shared" si="23"/>
        <v>4.2798622688614634</v>
      </c>
      <c r="P184" s="8">
        <f t="shared" si="24"/>
        <v>5.4861419550553503</v>
      </c>
      <c r="Q184" s="2">
        <f t="shared" si="25"/>
        <v>-1.9861419550553503</v>
      </c>
      <c r="R184">
        <f t="shared" si="26"/>
        <v>3.9447598656310889</v>
      </c>
    </row>
    <row r="185" spans="1:18" x14ac:dyDescent="0.2">
      <c r="A185">
        <f>IF(tips!A185="Male",1,2)</f>
        <v>1</v>
      </c>
      <c r="B185">
        <f>IF(tips!B185="No",1,2)</f>
        <v>2</v>
      </c>
      <c r="C185">
        <f>IF(tips!D185="Dinner",1,2)</f>
        <v>1</v>
      </c>
      <c r="D185">
        <f>IF(tips!C185="Sun",1,IF(tips!C185="Fri",2,IF(tips!C185="Sat",3,IF(tips!C185="Thur",4))))</f>
        <v>1</v>
      </c>
      <c r="E185" s="2">
        <v>4</v>
      </c>
      <c r="F185" s="2">
        <v>23.17</v>
      </c>
      <c r="G185" s="8">
        <v>6.5</v>
      </c>
      <c r="H185" s="2"/>
      <c r="I185" s="3">
        <v>0.75944339705833919</v>
      </c>
      <c r="J185" s="3">
        <f t="shared" si="18"/>
        <v>3.7183538040686311E-2</v>
      </c>
      <c r="K185" s="3">
        <f t="shared" si="19"/>
        <v>-0.14737551705234733</v>
      </c>
      <c r="L185" s="3">
        <f t="shared" si="20"/>
        <v>8.8727762736486165E-2</v>
      </c>
      <c r="M185" s="3">
        <f t="shared" si="21"/>
        <v>-5.3498842810068024E-2</v>
      </c>
      <c r="N185" s="3">
        <f t="shared" si="22"/>
        <v>0.69573246429438729</v>
      </c>
      <c r="O185" s="3">
        <f t="shared" si="23"/>
        <v>2.1866462793719976</v>
      </c>
      <c r="P185" s="8">
        <f t="shared" si="24"/>
        <v>3.5668590816394814</v>
      </c>
      <c r="Q185" s="2">
        <f t="shared" si="25"/>
        <v>2.9331409183605186</v>
      </c>
      <c r="R185">
        <f t="shared" si="26"/>
        <v>8.6033156469607857</v>
      </c>
    </row>
    <row r="186" spans="1:18" x14ac:dyDescent="0.2">
      <c r="A186">
        <f>IF(tips!A186="Male",1,2)</f>
        <v>1</v>
      </c>
      <c r="B186">
        <f>IF(tips!B186="No",1,2)</f>
        <v>2</v>
      </c>
      <c r="C186">
        <f>IF(tips!D186="Dinner",1,2)</f>
        <v>1</v>
      </c>
      <c r="D186">
        <f>IF(tips!C186="Sun",1,IF(tips!C186="Fri",2,IF(tips!C186="Sat",3,IF(tips!C186="Thur",4))))</f>
        <v>1</v>
      </c>
      <c r="E186" s="2">
        <v>2</v>
      </c>
      <c r="F186" s="2">
        <v>40.549999999999997</v>
      </c>
      <c r="G186" s="8">
        <v>3</v>
      </c>
      <c r="H186" s="2"/>
      <c r="I186" s="3">
        <v>0.75944339705833919</v>
      </c>
      <c r="J186" s="3">
        <f t="shared" si="18"/>
        <v>3.7183538040686311E-2</v>
      </c>
      <c r="K186" s="3">
        <f t="shared" si="19"/>
        <v>-0.14737551705234733</v>
      </c>
      <c r="L186" s="3">
        <f t="shared" si="20"/>
        <v>8.8727762736486165E-2</v>
      </c>
      <c r="M186" s="3">
        <f t="shared" si="21"/>
        <v>-5.3498842810068024E-2</v>
      </c>
      <c r="N186" s="3">
        <f t="shared" si="22"/>
        <v>0.34786623214719364</v>
      </c>
      <c r="O186" s="3">
        <f t="shared" si="23"/>
        <v>3.8268669239764566</v>
      </c>
      <c r="P186" s="8">
        <f t="shared" si="24"/>
        <v>4.8592134940967462</v>
      </c>
      <c r="Q186" s="2">
        <f t="shared" si="25"/>
        <v>-1.8592134940967462</v>
      </c>
      <c r="R186">
        <f t="shared" si="26"/>
        <v>3.4566748166314318</v>
      </c>
    </row>
    <row r="187" spans="1:18" x14ac:dyDescent="0.2">
      <c r="A187">
        <f>IF(tips!A187="Male",1,2)</f>
        <v>1</v>
      </c>
      <c r="B187">
        <f>IF(tips!B187="No",1,2)</f>
        <v>1</v>
      </c>
      <c r="C187">
        <f>IF(tips!D187="Dinner",1,2)</f>
        <v>1</v>
      </c>
      <c r="D187">
        <f>IF(tips!C187="Sun",1,IF(tips!C187="Fri",2,IF(tips!C187="Sat",3,IF(tips!C187="Thur",4))))</f>
        <v>1</v>
      </c>
      <c r="E187" s="2">
        <v>5</v>
      </c>
      <c r="F187" s="2">
        <v>20.69</v>
      </c>
      <c r="G187" s="8">
        <v>5</v>
      </c>
      <c r="H187" s="2"/>
      <c r="I187" s="3">
        <v>0.75944339705833919</v>
      </c>
      <c r="J187" s="3">
        <f t="shared" si="18"/>
        <v>3.7183538040686311E-2</v>
      </c>
      <c r="K187" s="3">
        <f t="shared" si="19"/>
        <v>-7.3687758526173666E-2</v>
      </c>
      <c r="L187" s="3">
        <f t="shared" si="20"/>
        <v>8.8727762736486165E-2</v>
      </c>
      <c r="M187" s="3">
        <f t="shared" si="21"/>
        <v>-5.3498842810068024E-2</v>
      </c>
      <c r="N187" s="3">
        <f t="shared" si="22"/>
        <v>0.86966558036798414</v>
      </c>
      <c r="O187" s="3">
        <f t="shared" si="23"/>
        <v>1.9525986845147447</v>
      </c>
      <c r="P187" s="8">
        <f t="shared" si="24"/>
        <v>3.5804323613819991</v>
      </c>
      <c r="Q187" s="2">
        <f t="shared" si="25"/>
        <v>1.4195676386180009</v>
      </c>
      <c r="R187">
        <f t="shared" si="26"/>
        <v>2.0151722806114871</v>
      </c>
    </row>
    <row r="188" spans="1:18" x14ac:dyDescent="0.2">
      <c r="A188">
        <f>IF(tips!A188="Male",1,2)</f>
        <v>2</v>
      </c>
      <c r="B188">
        <f>IF(tips!B188="No",1,2)</f>
        <v>2</v>
      </c>
      <c r="C188">
        <f>IF(tips!D188="Dinner",1,2)</f>
        <v>1</v>
      </c>
      <c r="D188">
        <f>IF(tips!C188="Sun",1,IF(tips!C188="Fri",2,IF(tips!C188="Sat",3,IF(tips!C188="Thur",4))))</f>
        <v>1</v>
      </c>
      <c r="E188" s="2">
        <v>3</v>
      </c>
      <c r="F188" s="2">
        <v>20.9</v>
      </c>
      <c r="G188" s="8">
        <v>3.5</v>
      </c>
      <c r="H188" s="2"/>
      <c r="I188" s="3">
        <v>0.75944339705833919</v>
      </c>
      <c r="J188" s="3">
        <f t="shared" si="18"/>
        <v>7.4367076081372621E-2</v>
      </c>
      <c r="K188" s="3">
        <f t="shared" si="19"/>
        <v>-0.14737551705234733</v>
      </c>
      <c r="L188" s="3">
        <f t="shared" si="20"/>
        <v>8.8727762736486165E-2</v>
      </c>
      <c r="M188" s="3">
        <f t="shared" si="21"/>
        <v>-5.3498842810068024E-2</v>
      </c>
      <c r="N188" s="3">
        <f t="shared" si="22"/>
        <v>0.52179934822079044</v>
      </c>
      <c r="O188" s="3">
        <f t="shared" si="23"/>
        <v>1.9724172308534635</v>
      </c>
      <c r="P188" s="8">
        <f t="shared" si="24"/>
        <v>3.2158804550880369</v>
      </c>
      <c r="Q188" s="2">
        <f t="shared" si="25"/>
        <v>0.28411954491196312</v>
      </c>
      <c r="R188">
        <f t="shared" si="26"/>
        <v>8.0723915800981025E-2</v>
      </c>
    </row>
    <row r="189" spans="1:18" x14ac:dyDescent="0.2">
      <c r="A189">
        <f>IF(tips!A189="Male",1,2)</f>
        <v>1</v>
      </c>
      <c r="B189">
        <f>IF(tips!B189="No",1,2)</f>
        <v>2</v>
      </c>
      <c r="C189">
        <f>IF(tips!D189="Dinner",1,2)</f>
        <v>1</v>
      </c>
      <c r="D189">
        <f>IF(tips!C189="Sun",1,IF(tips!C189="Fri",2,IF(tips!C189="Sat",3,IF(tips!C189="Thur",4))))</f>
        <v>1</v>
      </c>
      <c r="E189" s="2">
        <v>5</v>
      </c>
      <c r="F189" s="2">
        <v>30.46</v>
      </c>
      <c r="G189" s="8">
        <v>2</v>
      </c>
      <c r="H189" s="2"/>
      <c r="I189" s="3">
        <v>0.75944339705833919</v>
      </c>
      <c r="J189" s="3">
        <f t="shared" si="18"/>
        <v>3.7183538040686311E-2</v>
      </c>
      <c r="K189" s="3">
        <f t="shared" si="19"/>
        <v>-0.14737551705234733</v>
      </c>
      <c r="L189" s="3">
        <f t="shared" si="20"/>
        <v>8.8727762736486165E-2</v>
      </c>
      <c r="M189" s="3">
        <f t="shared" si="21"/>
        <v>-5.3498842810068024E-2</v>
      </c>
      <c r="N189" s="3">
        <f t="shared" si="22"/>
        <v>0.86966558036798414</v>
      </c>
      <c r="O189" s="3">
        <f t="shared" si="23"/>
        <v>2.8746329594161004</v>
      </c>
      <c r="P189" s="8">
        <f t="shared" si="24"/>
        <v>4.428778877757181</v>
      </c>
      <c r="Q189" s="2">
        <f t="shared" si="25"/>
        <v>-2.428778877757181</v>
      </c>
      <c r="R189">
        <f t="shared" si="26"/>
        <v>5.8989668370394321</v>
      </c>
    </row>
    <row r="190" spans="1:18" x14ac:dyDescent="0.2">
      <c r="A190">
        <f>IF(tips!A190="Male",1,2)</f>
        <v>2</v>
      </c>
      <c r="B190">
        <f>IF(tips!B190="No",1,2)</f>
        <v>2</v>
      </c>
      <c r="C190">
        <f>IF(tips!D190="Dinner",1,2)</f>
        <v>1</v>
      </c>
      <c r="D190">
        <f>IF(tips!C190="Sun",1,IF(tips!C190="Fri",2,IF(tips!C190="Sat",3,IF(tips!C190="Thur",4))))</f>
        <v>1</v>
      </c>
      <c r="E190" s="2">
        <v>3</v>
      </c>
      <c r="F190" s="2">
        <v>18.149999999999999</v>
      </c>
      <c r="G190" s="8">
        <v>3.5</v>
      </c>
      <c r="H190" s="2"/>
      <c r="I190" s="3">
        <v>0.75944339705833919</v>
      </c>
      <c r="J190" s="3">
        <f t="shared" si="18"/>
        <v>7.4367076081372621E-2</v>
      </c>
      <c r="K190" s="3">
        <f t="shared" si="19"/>
        <v>-0.14737551705234733</v>
      </c>
      <c r="L190" s="3">
        <f t="shared" si="20"/>
        <v>8.8727762736486165E-2</v>
      </c>
      <c r="M190" s="3">
        <f t="shared" si="21"/>
        <v>-5.3498842810068024E-2</v>
      </c>
      <c r="N190" s="3">
        <f t="shared" si="22"/>
        <v>0.52179934822079044</v>
      </c>
      <c r="O190" s="3">
        <f t="shared" si="23"/>
        <v>1.7128886478464287</v>
      </c>
      <c r="P190" s="8">
        <f t="shared" si="24"/>
        <v>2.9563518720810018</v>
      </c>
      <c r="Q190" s="2">
        <f t="shared" si="25"/>
        <v>0.54364812791899819</v>
      </c>
      <c r="R190">
        <f t="shared" si="26"/>
        <v>0.29555328698983141</v>
      </c>
    </row>
    <row r="191" spans="1:18" x14ac:dyDescent="0.2">
      <c r="A191">
        <f>IF(tips!A191="Male",1,2)</f>
        <v>1</v>
      </c>
      <c r="B191">
        <f>IF(tips!B191="No",1,2)</f>
        <v>2</v>
      </c>
      <c r="C191">
        <f>IF(tips!D191="Dinner",1,2)</f>
        <v>1</v>
      </c>
      <c r="D191">
        <f>IF(tips!C191="Sun",1,IF(tips!C191="Fri",2,IF(tips!C191="Sat",3,IF(tips!C191="Thur",4))))</f>
        <v>1</v>
      </c>
      <c r="E191" s="2">
        <v>3</v>
      </c>
      <c r="F191" s="2">
        <v>23.1</v>
      </c>
      <c r="G191" s="8">
        <v>4</v>
      </c>
      <c r="H191" s="2"/>
      <c r="I191" s="3">
        <v>0.75944339705833919</v>
      </c>
      <c r="J191" s="3">
        <f t="shared" si="18"/>
        <v>3.7183538040686311E-2</v>
      </c>
      <c r="K191" s="3">
        <f t="shared" si="19"/>
        <v>-0.14737551705234733</v>
      </c>
      <c r="L191" s="3">
        <f t="shared" si="20"/>
        <v>8.8727762736486165E-2</v>
      </c>
      <c r="M191" s="3">
        <f t="shared" si="21"/>
        <v>-5.3498842810068024E-2</v>
      </c>
      <c r="N191" s="3">
        <f t="shared" si="22"/>
        <v>0.52179934822079044</v>
      </c>
      <c r="O191" s="3">
        <f t="shared" si="23"/>
        <v>2.1800400972590914</v>
      </c>
      <c r="P191" s="8">
        <f t="shared" si="24"/>
        <v>3.3863197834529783</v>
      </c>
      <c r="Q191" s="2">
        <f t="shared" si="25"/>
        <v>0.61368021654702165</v>
      </c>
      <c r="R191">
        <f t="shared" si="26"/>
        <v>0.37660340818119936</v>
      </c>
    </row>
    <row r="192" spans="1:18" x14ac:dyDescent="0.2">
      <c r="A192">
        <f>IF(tips!A192="Male",1,2)</f>
        <v>1</v>
      </c>
      <c r="B192">
        <f>IF(tips!B192="No",1,2)</f>
        <v>2</v>
      </c>
      <c r="C192">
        <f>IF(tips!D192="Dinner",1,2)</f>
        <v>1</v>
      </c>
      <c r="D192">
        <f>IF(tips!C192="Sun",1,IF(tips!C192="Fri",2,IF(tips!C192="Sat",3,IF(tips!C192="Thur",4))))</f>
        <v>1</v>
      </c>
      <c r="E192" s="2">
        <v>2</v>
      </c>
      <c r="F192" s="2">
        <v>15.69</v>
      </c>
      <c r="G192" s="8">
        <v>1.5</v>
      </c>
      <c r="H192" s="2"/>
      <c r="I192" s="3">
        <v>0.75944339705833919</v>
      </c>
      <c r="J192" s="3">
        <f t="shared" si="18"/>
        <v>3.7183538040686311E-2</v>
      </c>
      <c r="K192" s="3">
        <f t="shared" si="19"/>
        <v>-0.14737551705234733</v>
      </c>
      <c r="L192" s="3">
        <f t="shared" si="20"/>
        <v>8.8727762736486165E-2</v>
      </c>
      <c r="M192" s="3">
        <f t="shared" si="21"/>
        <v>-5.3498842810068024E-2</v>
      </c>
      <c r="N192" s="3">
        <f t="shared" si="22"/>
        <v>0.34786623214719364</v>
      </c>
      <c r="O192" s="3">
        <f t="shared" si="23"/>
        <v>1.4807285335928633</v>
      </c>
      <c r="P192" s="8">
        <f t="shared" si="24"/>
        <v>2.5130751037131533</v>
      </c>
      <c r="Q192" s="2">
        <f t="shared" si="25"/>
        <v>-1.0130751037131533</v>
      </c>
      <c r="R192">
        <f t="shared" si="26"/>
        <v>1.0263211657634164</v>
      </c>
    </row>
    <row r="193" spans="1:18" x14ac:dyDescent="0.2">
      <c r="A193">
        <f>IF(tips!A193="Male",1,2)</f>
        <v>2</v>
      </c>
      <c r="B193">
        <f>IF(tips!B193="No",1,2)</f>
        <v>2</v>
      </c>
      <c r="C193">
        <f>IF(tips!D193="Dinner",1,2)</f>
        <v>2</v>
      </c>
      <c r="D193">
        <f>IF(tips!C193="Sun",1,IF(tips!C193="Fri",2,IF(tips!C193="Sat",3,IF(tips!C193="Thur",4))))</f>
        <v>4</v>
      </c>
      <c r="E193" s="2">
        <v>2</v>
      </c>
      <c r="F193" s="2">
        <v>19.809999999999999</v>
      </c>
      <c r="G193" s="8">
        <v>4.1900000000000004</v>
      </c>
      <c r="H193" s="2"/>
      <c r="I193" s="3">
        <v>0.75944339705833919</v>
      </c>
      <c r="J193" s="3">
        <f t="shared" si="18"/>
        <v>7.4367076081372621E-2</v>
      </c>
      <c r="K193" s="3">
        <f t="shared" si="19"/>
        <v>-0.14737551705234733</v>
      </c>
      <c r="L193" s="3">
        <f t="shared" si="20"/>
        <v>0.17745552547297233</v>
      </c>
      <c r="M193" s="3">
        <f t="shared" si="21"/>
        <v>-0.2139953712402721</v>
      </c>
      <c r="N193" s="3">
        <f t="shared" si="22"/>
        <v>0.34786623214719364</v>
      </c>
      <c r="O193" s="3">
        <f t="shared" si="23"/>
        <v>1.8695495379524933</v>
      </c>
      <c r="P193" s="8">
        <f t="shared" si="24"/>
        <v>2.8673108804197516</v>
      </c>
      <c r="Q193" s="2">
        <f t="shared" si="25"/>
        <v>1.3226891195802488</v>
      </c>
      <c r="R193">
        <f t="shared" si="26"/>
        <v>1.7495065070559737</v>
      </c>
    </row>
    <row r="194" spans="1:18" x14ac:dyDescent="0.2">
      <c r="A194">
        <f>IF(tips!A194="Male",1,2)</f>
        <v>1</v>
      </c>
      <c r="B194">
        <f>IF(tips!B194="No",1,2)</f>
        <v>2</v>
      </c>
      <c r="C194">
        <f>IF(tips!D194="Dinner",1,2)</f>
        <v>2</v>
      </c>
      <c r="D194">
        <f>IF(tips!C194="Sun",1,IF(tips!C194="Fri",2,IF(tips!C194="Sat",3,IF(tips!C194="Thur",4))))</f>
        <v>4</v>
      </c>
      <c r="E194" s="2">
        <v>2</v>
      </c>
      <c r="F194" s="2">
        <v>28.44</v>
      </c>
      <c r="G194" s="8">
        <v>2.56</v>
      </c>
      <c r="H194" s="2"/>
      <c r="I194" s="3">
        <v>0.75944339705833919</v>
      </c>
      <c r="J194" s="3">
        <f t="shared" si="18"/>
        <v>3.7183538040686311E-2</v>
      </c>
      <c r="K194" s="3">
        <f t="shared" si="19"/>
        <v>-0.14737551705234733</v>
      </c>
      <c r="L194" s="3">
        <f t="shared" si="20"/>
        <v>0.17745552547297233</v>
      </c>
      <c r="M194" s="3">
        <f t="shared" si="21"/>
        <v>-0.2139953712402721</v>
      </c>
      <c r="N194" s="3">
        <f t="shared" si="22"/>
        <v>0.34786623214719364</v>
      </c>
      <c r="O194" s="3">
        <f t="shared" si="23"/>
        <v>2.6839974184436608</v>
      </c>
      <c r="P194" s="8">
        <f t="shared" si="24"/>
        <v>3.6445752228702331</v>
      </c>
      <c r="Q194" s="2">
        <f t="shared" si="25"/>
        <v>-1.084575222870233</v>
      </c>
      <c r="R194">
        <f t="shared" si="26"/>
        <v>1.1763034140640156</v>
      </c>
    </row>
    <row r="195" spans="1:18" x14ac:dyDescent="0.2">
      <c r="A195">
        <f>IF(tips!A195="Male",1,2)</f>
        <v>1</v>
      </c>
      <c r="B195">
        <f>IF(tips!B195="No",1,2)</f>
        <v>2</v>
      </c>
      <c r="C195">
        <f>IF(tips!D195="Dinner",1,2)</f>
        <v>2</v>
      </c>
      <c r="D195">
        <f>IF(tips!C195="Sun",1,IF(tips!C195="Fri",2,IF(tips!C195="Sat",3,IF(tips!C195="Thur",4))))</f>
        <v>4</v>
      </c>
      <c r="E195" s="2">
        <v>2</v>
      </c>
      <c r="F195" s="2">
        <v>15.48</v>
      </c>
      <c r="G195" s="8">
        <v>2.02</v>
      </c>
      <c r="H195" s="2"/>
      <c r="I195" s="3">
        <v>0.75944339705833919</v>
      </c>
      <c r="J195" s="3">
        <f t="shared" ref="J195:J244" si="27">$J$1*A195</f>
        <v>3.7183538040686311E-2</v>
      </c>
      <c r="K195" s="3">
        <f t="shared" ref="K195:K244" si="28">$K$1*B195</f>
        <v>-0.14737551705234733</v>
      </c>
      <c r="L195" s="3">
        <f t="shared" ref="L195:L244" si="29">$L$1*C195</f>
        <v>0.17745552547297233</v>
      </c>
      <c r="M195" s="3">
        <f t="shared" ref="M195:M244" si="30">$M$1*D195</f>
        <v>-0.2139953712402721</v>
      </c>
      <c r="N195" s="3">
        <f t="shared" ref="N195:N244" si="31">$N$1*E195</f>
        <v>0.34786623214719364</v>
      </c>
      <c r="O195" s="3">
        <f t="shared" ref="O195:O244" si="32">$O$1*F195</f>
        <v>1.4609099872541444</v>
      </c>
      <c r="P195" s="8">
        <f t="shared" ref="P195:P244" si="33">SUM(I195:O195)</f>
        <v>2.4214877916807165</v>
      </c>
      <c r="Q195" s="2">
        <f t="shared" ref="Q195:Q244" si="34">G195-P195</f>
        <v>-0.40148779168071647</v>
      </c>
      <c r="R195">
        <f t="shared" ref="R195:R244" si="35">Q195*Q195</f>
        <v>0.16119244686865838</v>
      </c>
    </row>
    <row r="196" spans="1:18" x14ac:dyDescent="0.2">
      <c r="A196">
        <f>IF(tips!A196="Male",1,2)</f>
        <v>1</v>
      </c>
      <c r="B196">
        <f>IF(tips!B196="No",1,2)</f>
        <v>2</v>
      </c>
      <c r="C196">
        <f>IF(tips!D196="Dinner",1,2)</f>
        <v>2</v>
      </c>
      <c r="D196">
        <f>IF(tips!C196="Sun",1,IF(tips!C196="Fri",2,IF(tips!C196="Sat",3,IF(tips!C196="Thur",4))))</f>
        <v>4</v>
      </c>
      <c r="E196" s="2">
        <v>2</v>
      </c>
      <c r="F196" s="2">
        <v>16.579999999999998</v>
      </c>
      <c r="G196" s="8">
        <v>4</v>
      </c>
      <c r="H196" s="2"/>
      <c r="I196" s="3">
        <v>0.75944339705833919</v>
      </c>
      <c r="J196" s="3">
        <f t="shared" si="27"/>
        <v>3.7183538040686311E-2</v>
      </c>
      <c r="K196" s="3">
        <f t="shared" si="28"/>
        <v>-0.14737551705234733</v>
      </c>
      <c r="L196" s="3">
        <f t="shared" si="29"/>
        <v>0.17745552547297233</v>
      </c>
      <c r="M196" s="3">
        <f t="shared" si="30"/>
        <v>-0.2139953712402721</v>
      </c>
      <c r="N196" s="3">
        <f t="shared" si="31"/>
        <v>0.34786623214719364</v>
      </c>
      <c r="O196" s="3">
        <f t="shared" si="32"/>
        <v>1.5647214204569579</v>
      </c>
      <c r="P196" s="8">
        <f t="shared" si="33"/>
        <v>2.52529922488353</v>
      </c>
      <c r="Q196" s="2">
        <f t="shared" si="34"/>
        <v>1.47470077511647</v>
      </c>
      <c r="R196">
        <f t="shared" si="35"/>
        <v>2.1747423761291174</v>
      </c>
    </row>
    <row r="197" spans="1:18" x14ac:dyDescent="0.2">
      <c r="A197">
        <f>IF(tips!A197="Male",1,2)</f>
        <v>1</v>
      </c>
      <c r="B197">
        <f>IF(tips!B197="No",1,2)</f>
        <v>1</v>
      </c>
      <c r="C197">
        <f>IF(tips!D197="Dinner",1,2)</f>
        <v>2</v>
      </c>
      <c r="D197">
        <f>IF(tips!C197="Sun",1,IF(tips!C197="Fri",2,IF(tips!C197="Sat",3,IF(tips!C197="Thur",4))))</f>
        <v>4</v>
      </c>
      <c r="E197" s="2">
        <v>2</v>
      </c>
      <c r="F197" s="2">
        <v>7.56</v>
      </c>
      <c r="G197" s="8">
        <v>1.44</v>
      </c>
      <c r="H197" s="2"/>
      <c r="I197" s="3">
        <v>0.75944339705833919</v>
      </c>
      <c r="J197" s="3">
        <f t="shared" si="27"/>
        <v>3.7183538040686311E-2</v>
      </c>
      <c r="K197" s="3">
        <f t="shared" si="28"/>
        <v>-7.3687758526173666E-2</v>
      </c>
      <c r="L197" s="3">
        <f t="shared" si="29"/>
        <v>0.17745552547297233</v>
      </c>
      <c r="M197" s="3">
        <f t="shared" si="30"/>
        <v>-0.2139953712402721</v>
      </c>
      <c r="N197" s="3">
        <f t="shared" si="31"/>
        <v>0.34786623214719364</v>
      </c>
      <c r="O197" s="3">
        <f t="shared" si="32"/>
        <v>0.71346766819388441</v>
      </c>
      <c r="P197" s="8">
        <f t="shared" si="33"/>
        <v>1.74773323114663</v>
      </c>
      <c r="Q197" s="2">
        <f t="shared" si="34"/>
        <v>-0.30773323114663009</v>
      </c>
      <c r="R197">
        <f t="shared" si="35"/>
        <v>9.4699741551945271E-2</v>
      </c>
    </row>
    <row r="198" spans="1:18" x14ac:dyDescent="0.2">
      <c r="A198">
        <f>IF(tips!A198="Male",1,2)</f>
        <v>1</v>
      </c>
      <c r="B198">
        <f>IF(tips!B198="No",1,2)</f>
        <v>2</v>
      </c>
      <c r="C198">
        <f>IF(tips!D198="Dinner",1,2)</f>
        <v>2</v>
      </c>
      <c r="D198">
        <f>IF(tips!C198="Sun",1,IF(tips!C198="Fri",2,IF(tips!C198="Sat",3,IF(tips!C198="Thur",4))))</f>
        <v>4</v>
      </c>
      <c r="E198" s="2">
        <v>2</v>
      </c>
      <c r="F198" s="2">
        <v>10.34</v>
      </c>
      <c r="G198" s="8">
        <v>2</v>
      </c>
      <c r="H198" s="2"/>
      <c r="I198" s="3">
        <v>0.75944339705833919</v>
      </c>
      <c r="J198" s="3">
        <f t="shared" si="27"/>
        <v>3.7183538040686311E-2</v>
      </c>
      <c r="K198" s="3">
        <f t="shared" si="28"/>
        <v>-0.14737551705234733</v>
      </c>
      <c r="L198" s="3">
        <f t="shared" si="29"/>
        <v>0.17745552547297233</v>
      </c>
      <c r="M198" s="3">
        <f t="shared" si="30"/>
        <v>-0.2139953712402721</v>
      </c>
      <c r="N198" s="3">
        <f t="shared" si="31"/>
        <v>0.34786623214719364</v>
      </c>
      <c r="O198" s="3">
        <f t="shared" si="32"/>
        <v>0.97582747210645038</v>
      </c>
      <c r="P198" s="8">
        <f t="shared" si="33"/>
        <v>1.9364052765330224</v>
      </c>
      <c r="Q198" s="2">
        <f t="shared" si="34"/>
        <v>6.3594723466977587E-2</v>
      </c>
      <c r="R198">
        <f t="shared" si="35"/>
        <v>4.0442888528413497E-3</v>
      </c>
    </row>
    <row r="199" spans="1:18" x14ac:dyDescent="0.2">
      <c r="A199">
        <f>IF(tips!A199="Male",1,2)</f>
        <v>2</v>
      </c>
      <c r="B199">
        <f>IF(tips!B199="No",1,2)</f>
        <v>2</v>
      </c>
      <c r="C199">
        <f>IF(tips!D199="Dinner",1,2)</f>
        <v>2</v>
      </c>
      <c r="D199">
        <f>IF(tips!C199="Sun",1,IF(tips!C199="Fri",2,IF(tips!C199="Sat",3,IF(tips!C199="Thur",4))))</f>
        <v>4</v>
      </c>
      <c r="E199" s="2">
        <v>4</v>
      </c>
      <c r="F199" s="2">
        <v>43.11</v>
      </c>
      <c r="G199" s="8">
        <v>5</v>
      </c>
      <c r="H199" s="2"/>
      <c r="I199" s="3">
        <v>0.75944339705833919</v>
      </c>
      <c r="J199" s="3">
        <f t="shared" si="27"/>
        <v>7.4367076081372621E-2</v>
      </c>
      <c r="K199" s="3">
        <f t="shared" si="28"/>
        <v>-0.14737551705234733</v>
      </c>
      <c r="L199" s="3">
        <f t="shared" si="29"/>
        <v>0.17745552547297233</v>
      </c>
      <c r="M199" s="3">
        <f t="shared" si="30"/>
        <v>-0.2139953712402721</v>
      </c>
      <c r="N199" s="3">
        <f t="shared" si="31"/>
        <v>0.69573246429438729</v>
      </c>
      <c r="O199" s="3">
        <f t="shared" si="32"/>
        <v>4.0684644412484596</v>
      </c>
      <c r="P199" s="8">
        <f t="shared" si="33"/>
        <v>5.4140920158629111</v>
      </c>
      <c r="Q199" s="2">
        <f t="shared" si="34"/>
        <v>-0.41409201586291111</v>
      </c>
      <c r="R199">
        <f t="shared" si="35"/>
        <v>0.17147219760140942</v>
      </c>
    </row>
    <row r="200" spans="1:18" x14ac:dyDescent="0.2">
      <c r="A200">
        <f>IF(tips!A200="Male",1,2)</f>
        <v>2</v>
      </c>
      <c r="B200">
        <f>IF(tips!B200="No",1,2)</f>
        <v>2</v>
      </c>
      <c r="C200">
        <f>IF(tips!D200="Dinner",1,2)</f>
        <v>2</v>
      </c>
      <c r="D200">
        <f>IF(tips!C200="Sun",1,IF(tips!C200="Fri",2,IF(tips!C200="Sat",3,IF(tips!C200="Thur",4))))</f>
        <v>4</v>
      </c>
      <c r="E200" s="2">
        <v>2</v>
      </c>
      <c r="F200" s="2">
        <v>13</v>
      </c>
      <c r="G200" s="8">
        <v>2</v>
      </c>
      <c r="H200" s="2"/>
      <c r="I200" s="3">
        <v>0.75944339705833919</v>
      </c>
      <c r="J200" s="3">
        <f t="shared" si="27"/>
        <v>7.4367076081372621E-2</v>
      </c>
      <c r="K200" s="3">
        <f t="shared" si="28"/>
        <v>-0.14737551705234733</v>
      </c>
      <c r="L200" s="3">
        <f t="shared" si="29"/>
        <v>0.17745552547297233</v>
      </c>
      <c r="M200" s="3">
        <f t="shared" si="30"/>
        <v>-0.2139953712402721</v>
      </c>
      <c r="N200" s="3">
        <f t="shared" si="31"/>
        <v>0.34786623214719364</v>
      </c>
      <c r="O200" s="3">
        <f t="shared" si="32"/>
        <v>1.2268623923968913</v>
      </c>
      <c r="P200" s="8">
        <f t="shared" si="33"/>
        <v>2.2246237348641493</v>
      </c>
      <c r="Q200" s="2">
        <f t="shared" si="34"/>
        <v>-0.22462373486414933</v>
      </c>
      <c r="R200">
        <f t="shared" si="35"/>
        <v>5.0455822264319654E-2</v>
      </c>
    </row>
    <row r="201" spans="1:18" x14ac:dyDescent="0.2">
      <c r="A201">
        <f>IF(tips!A201="Male",1,2)</f>
        <v>1</v>
      </c>
      <c r="B201">
        <f>IF(tips!B201="No",1,2)</f>
        <v>2</v>
      </c>
      <c r="C201">
        <f>IF(tips!D201="Dinner",1,2)</f>
        <v>2</v>
      </c>
      <c r="D201">
        <f>IF(tips!C201="Sun",1,IF(tips!C201="Fri",2,IF(tips!C201="Sat",3,IF(tips!C201="Thur",4))))</f>
        <v>4</v>
      </c>
      <c r="E201" s="2">
        <v>2</v>
      </c>
      <c r="F201" s="2">
        <v>13.51</v>
      </c>
      <c r="G201" s="8">
        <v>2</v>
      </c>
      <c r="H201" s="2"/>
      <c r="I201" s="3">
        <v>0.75944339705833919</v>
      </c>
      <c r="J201" s="3">
        <f t="shared" si="27"/>
        <v>3.7183538040686311E-2</v>
      </c>
      <c r="K201" s="3">
        <f t="shared" si="28"/>
        <v>-0.14737551705234733</v>
      </c>
      <c r="L201" s="3">
        <f t="shared" si="29"/>
        <v>0.17745552547297233</v>
      </c>
      <c r="M201" s="3">
        <f t="shared" si="30"/>
        <v>-0.2139953712402721</v>
      </c>
      <c r="N201" s="3">
        <f t="shared" si="31"/>
        <v>0.34786623214719364</v>
      </c>
      <c r="O201" s="3">
        <f t="shared" si="32"/>
        <v>1.2749931477909231</v>
      </c>
      <c r="P201" s="8">
        <f t="shared" si="33"/>
        <v>2.2355709522174951</v>
      </c>
      <c r="Q201" s="2">
        <f t="shared" si="34"/>
        <v>-0.23557095221749513</v>
      </c>
      <c r="R201">
        <f t="shared" si="35"/>
        <v>5.5493673528657375E-2</v>
      </c>
    </row>
    <row r="202" spans="1:18" x14ac:dyDescent="0.2">
      <c r="A202">
        <f>IF(tips!A202="Male",1,2)</f>
        <v>1</v>
      </c>
      <c r="B202">
        <f>IF(tips!B202="No",1,2)</f>
        <v>2</v>
      </c>
      <c r="C202">
        <f>IF(tips!D202="Dinner",1,2)</f>
        <v>2</v>
      </c>
      <c r="D202">
        <f>IF(tips!C202="Sun",1,IF(tips!C202="Fri",2,IF(tips!C202="Sat",3,IF(tips!C202="Thur",4))))</f>
        <v>4</v>
      </c>
      <c r="E202" s="2">
        <v>3</v>
      </c>
      <c r="F202" s="2">
        <v>18.71</v>
      </c>
      <c r="G202" s="8">
        <v>4</v>
      </c>
      <c r="H202" s="2"/>
      <c r="I202" s="3">
        <v>0.75944339705833919</v>
      </c>
      <c r="J202" s="3">
        <f t="shared" si="27"/>
        <v>3.7183538040686311E-2</v>
      </c>
      <c r="K202" s="3">
        <f t="shared" si="28"/>
        <v>-0.14737551705234733</v>
      </c>
      <c r="L202" s="3">
        <f t="shared" si="29"/>
        <v>0.17745552547297233</v>
      </c>
      <c r="M202" s="3">
        <f t="shared" si="30"/>
        <v>-0.2139953712402721</v>
      </c>
      <c r="N202" s="3">
        <f t="shared" si="31"/>
        <v>0.52179934822079044</v>
      </c>
      <c r="O202" s="3">
        <f t="shared" si="32"/>
        <v>1.7657381047496796</v>
      </c>
      <c r="P202" s="8">
        <f t="shared" si="33"/>
        <v>2.9002490252498485</v>
      </c>
      <c r="Q202" s="2">
        <f t="shared" si="34"/>
        <v>1.0997509747501515</v>
      </c>
      <c r="R202">
        <f t="shared" si="35"/>
        <v>1.2094522064639084</v>
      </c>
    </row>
    <row r="203" spans="1:18" x14ac:dyDescent="0.2">
      <c r="A203">
        <f>IF(tips!A203="Male",1,2)</f>
        <v>2</v>
      </c>
      <c r="B203">
        <f>IF(tips!B203="No",1,2)</f>
        <v>2</v>
      </c>
      <c r="C203">
        <f>IF(tips!D203="Dinner",1,2)</f>
        <v>2</v>
      </c>
      <c r="D203">
        <f>IF(tips!C203="Sun",1,IF(tips!C203="Fri",2,IF(tips!C203="Sat",3,IF(tips!C203="Thur",4))))</f>
        <v>4</v>
      </c>
      <c r="E203" s="2">
        <v>2</v>
      </c>
      <c r="F203" s="2">
        <v>12.74</v>
      </c>
      <c r="G203" s="8">
        <v>2.0099999999999998</v>
      </c>
      <c r="H203" s="2"/>
      <c r="I203" s="3">
        <v>0.75944339705833919</v>
      </c>
      <c r="J203" s="3">
        <f t="shared" si="27"/>
        <v>7.4367076081372621E-2</v>
      </c>
      <c r="K203" s="3">
        <f t="shared" si="28"/>
        <v>-0.14737551705234733</v>
      </c>
      <c r="L203" s="3">
        <f t="shared" si="29"/>
        <v>0.17745552547297233</v>
      </c>
      <c r="M203" s="3">
        <f t="shared" si="30"/>
        <v>-0.2139953712402721</v>
      </c>
      <c r="N203" s="3">
        <f t="shared" si="31"/>
        <v>0.34786623214719364</v>
      </c>
      <c r="O203" s="3">
        <f t="shared" si="32"/>
        <v>1.2023251445489533</v>
      </c>
      <c r="P203" s="8">
        <f t="shared" si="33"/>
        <v>2.2000864870162116</v>
      </c>
      <c r="Q203" s="2">
        <f t="shared" si="34"/>
        <v>-0.19008648701621178</v>
      </c>
      <c r="R203">
        <f t="shared" si="35"/>
        <v>3.613287254616445E-2</v>
      </c>
    </row>
    <row r="204" spans="1:18" x14ac:dyDescent="0.2">
      <c r="A204">
        <f>IF(tips!A204="Male",1,2)</f>
        <v>2</v>
      </c>
      <c r="B204">
        <f>IF(tips!B204="No",1,2)</f>
        <v>2</v>
      </c>
      <c r="C204">
        <f>IF(tips!D204="Dinner",1,2)</f>
        <v>2</v>
      </c>
      <c r="D204">
        <f>IF(tips!C204="Sun",1,IF(tips!C204="Fri",2,IF(tips!C204="Sat",3,IF(tips!C204="Thur",4))))</f>
        <v>4</v>
      </c>
      <c r="E204" s="2">
        <v>2</v>
      </c>
      <c r="F204" s="2">
        <v>16.399999999999999</v>
      </c>
      <c r="G204" s="8">
        <v>2.5</v>
      </c>
      <c r="H204" s="2"/>
      <c r="I204" s="3">
        <v>0.75944339705833919</v>
      </c>
      <c r="J204" s="3">
        <f t="shared" si="27"/>
        <v>7.4367076081372621E-2</v>
      </c>
      <c r="K204" s="3">
        <f t="shared" si="28"/>
        <v>-0.14737551705234733</v>
      </c>
      <c r="L204" s="3">
        <f t="shared" si="29"/>
        <v>0.17745552547297233</v>
      </c>
      <c r="M204" s="3">
        <f t="shared" si="30"/>
        <v>-0.2139953712402721</v>
      </c>
      <c r="N204" s="3">
        <f t="shared" si="31"/>
        <v>0.34786623214719364</v>
      </c>
      <c r="O204" s="3">
        <f t="shared" si="32"/>
        <v>1.5477340950237704</v>
      </c>
      <c r="P204" s="8">
        <f t="shared" si="33"/>
        <v>2.5454954374910286</v>
      </c>
      <c r="Q204" s="2">
        <f t="shared" si="34"/>
        <v>-4.5495437491028579E-2</v>
      </c>
      <c r="R204">
        <f t="shared" si="35"/>
        <v>2.0698348325000888E-3</v>
      </c>
    </row>
    <row r="205" spans="1:18" x14ac:dyDescent="0.2">
      <c r="A205">
        <f>IF(tips!A205="Male",1,2)</f>
        <v>1</v>
      </c>
      <c r="B205">
        <f>IF(tips!B205="No",1,2)</f>
        <v>2</v>
      </c>
      <c r="C205">
        <f>IF(tips!D205="Dinner",1,2)</f>
        <v>2</v>
      </c>
      <c r="D205">
        <f>IF(tips!C205="Sun",1,IF(tips!C205="Fri",2,IF(tips!C205="Sat",3,IF(tips!C205="Thur",4))))</f>
        <v>4</v>
      </c>
      <c r="E205" s="2">
        <v>4</v>
      </c>
      <c r="F205" s="2">
        <v>20.53</v>
      </c>
      <c r="G205" s="8">
        <v>4</v>
      </c>
      <c r="H205" s="2"/>
      <c r="I205" s="3">
        <v>0.75944339705833919</v>
      </c>
      <c r="J205" s="3">
        <f t="shared" si="27"/>
        <v>3.7183538040686311E-2</v>
      </c>
      <c r="K205" s="3">
        <f t="shared" si="28"/>
        <v>-0.14737551705234733</v>
      </c>
      <c r="L205" s="3">
        <f t="shared" si="29"/>
        <v>0.17745552547297233</v>
      </c>
      <c r="M205" s="3">
        <f t="shared" si="30"/>
        <v>-0.2139953712402721</v>
      </c>
      <c r="N205" s="3">
        <f t="shared" si="31"/>
        <v>0.69573246429438729</v>
      </c>
      <c r="O205" s="3">
        <f t="shared" si="32"/>
        <v>1.9374988396852444</v>
      </c>
      <c r="P205" s="8">
        <f t="shared" si="33"/>
        <v>3.2459428762590101</v>
      </c>
      <c r="Q205" s="2">
        <f t="shared" si="34"/>
        <v>0.75405712374098988</v>
      </c>
      <c r="R205">
        <f t="shared" si="35"/>
        <v>0.5686021458645345</v>
      </c>
    </row>
    <row r="206" spans="1:18" x14ac:dyDescent="0.2">
      <c r="A206">
        <f>IF(tips!A206="Male",1,2)</f>
        <v>2</v>
      </c>
      <c r="B206">
        <f>IF(tips!B206="No",1,2)</f>
        <v>2</v>
      </c>
      <c r="C206">
        <f>IF(tips!D206="Dinner",1,2)</f>
        <v>2</v>
      </c>
      <c r="D206">
        <f>IF(tips!C206="Sun",1,IF(tips!C206="Fri",2,IF(tips!C206="Sat",3,IF(tips!C206="Thur",4))))</f>
        <v>4</v>
      </c>
      <c r="E206" s="2">
        <v>3</v>
      </c>
      <c r="F206" s="2">
        <v>16.47</v>
      </c>
      <c r="G206" s="8">
        <v>3.23</v>
      </c>
      <c r="H206" s="2"/>
      <c r="I206" s="3">
        <v>0.75944339705833896</v>
      </c>
      <c r="J206" s="3">
        <f t="shared" si="27"/>
        <v>7.4367076081372621E-2</v>
      </c>
      <c r="K206" s="3">
        <f t="shared" si="28"/>
        <v>-0.14737551705234733</v>
      </c>
      <c r="L206" s="3">
        <f t="shared" si="29"/>
        <v>0.17745552547297233</v>
      </c>
      <c r="M206" s="3">
        <f t="shared" si="30"/>
        <v>-0.2139953712402721</v>
      </c>
      <c r="N206" s="3">
        <f t="shared" si="31"/>
        <v>0.52179934822079044</v>
      </c>
      <c r="O206" s="3">
        <f t="shared" si="32"/>
        <v>1.5543402771366768</v>
      </c>
      <c r="P206" s="8">
        <f t="shared" si="33"/>
        <v>2.7260347356775316</v>
      </c>
      <c r="Q206" s="2">
        <f t="shared" si="34"/>
        <v>0.50396526432246835</v>
      </c>
      <c r="R206">
        <f t="shared" si="35"/>
        <v>0.25398098764361537</v>
      </c>
    </row>
    <row r="207" spans="1:18" x14ac:dyDescent="0.2">
      <c r="A207">
        <f>IF(tips!A207="Male",1,2)</f>
        <v>1</v>
      </c>
      <c r="B207">
        <f>IF(tips!B207="No",1,2)</f>
        <v>2</v>
      </c>
      <c r="C207">
        <f>IF(tips!D207="Dinner",1,2)</f>
        <v>1</v>
      </c>
      <c r="D207">
        <f>IF(tips!C207="Sun",1,IF(tips!C207="Fri",2,IF(tips!C207="Sat",3,IF(tips!C207="Thur",4))))</f>
        <v>3</v>
      </c>
      <c r="E207" s="2">
        <v>3</v>
      </c>
      <c r="F207" s="2">
        <v>26.59</v>
      </c>
      <c r="G207" s="8">
        <v>3.41</v>
      </c>
      <c r="H207" s="2"/>
      <c r="I207" s="3">
        <v>0.75944339705833896</v>
      </c>
      <c r="J207" s="3">
        <f t="shared" si="27"/>
        <v>3.7183538040686311E-2</v>
      </c>
      <c r="K207" s="3">
        <f t="shared" si="28"/>
        <v>-0.14737551705234733</v>
      </c>
      <c r="L207" s="3">
        <f t="shared" si="29"/>
        <v>8.8727762736486165E-2</v>
      </c>
      <c r="M207" s="3">
        <f t="shared" si="30"/>
        <v>-0.16049652843020407</v>
      </c>
      <c r="N207" s="3">
        <f t="shared" si="31"/>
        <v>0.52179934822079044</v>
      </c>
      <c r="O207" s="3">
        <f t="shared" si="32"/>
        <v>2.5094054626025644</v>
      </c>
      <c r="P207" s="8">
        <f t="shared" si="33"/>
        <v>3.6086874631763148</v>
      </c>
      <c r="Q207" s="2">
        <f t="shared" si="34"/>
        <v>-0.19868746317631469</v>
      </c>
      <c r="R207">
        <f t="shared" si="35"/>
        <v>3.9476708023439409E-2</v>
      </c>
    </row>
    <row r="208" spans="1:18" x14ac:dyDescent="0.2">
      <c r="A208">
        <f>IF(tips!A208="Male",1,2)</f>
        <v>1</v>
      </c>
      <c r="B208">
        <f>IF(tips!B208="No",1,2)</f>
        <v>2</v>
      </c>
      <c r="C208">
        <f>IF(tips!D208="Dinner",1,2)</f>
        <v>1</v>
      </c>
      <c r="D208">
        <f>IF(tips!C208="Sun",1,IF(tips!C208="Fri",2,IF(tips!C208="Sat",3,IF(tips!C208="Thur",4))))</f>
        <v>3</v>
      </c>
      <c r="E208" s="2">
        <v>4</v>
      </c>
      <c r="F208" s="2">
        <v>38.729999999999997</v>
      </c>
      <c r="G208" s="8">
        <v>3</v>
      </c>
      <c r="H208" s="2"/>
      <c r="I208" s="3">
        <v>0.75944339705833896</v>
      </c>
      <c r="J208" s="3">
        <f t="shared" si="27"/>
        <v>3.7183538040686311E-2</v>
      </c>
      <c r="K208" s="3">
        <f t="shared" si="28"/>
        <v>-0.14737551705234733</v>
      </c>
      <c r="L208" s="3">
        <f t="shared" si="29"/>
        <v>8.8727762736486165E-2</v>
      </c>
      <c r="M208" s="3">
        <f t="shared" si="30"/>
        <v>-0.16049652843020407</v>
      </c>
      <c r="N208" s="3">
        <f t="shared" si="31"/>
        <v>0.69573246429438729</v>
      </c>
      <c r="O208" s="3">
        <f t="shared" si="32"/>
        <v>3.6551061890408918</v>
      </c>
      <c r="P208" s="8">
        <f t="shared" si="33"/>
        <v>4.9283213056882396</v>
      </c>
      <c r="Q208" s="2">
        <f t="shared" si="34"/>
        <v>-1.9283213056882396</v>
      </c>
      <c r="R208">
        <f t="shared" si="35"/>
        <v>3.7184230579711972</v>
      </c>
    </row>
    <row r="209" spans="1:18" x14ac:dyDescent="0.2">
      <c r="A209">
        <f>IF(tips!A209="Male",1,2)</f>
        <v>1</v>
      </c>
      <c r="B209">
        <f>IF(tips!B209="No",1,2)</f>
        <v>2</v>
      </c>
      <c r="C209">
        <f>IF(tips!D209="Dinner",1,2)</f>
        <v>1</v>
      </c>
      <c r="D209">
        <f>IF(tips!C209="Sun",1,IF(tips!C209="Fri",2,IF(tips!C209="Sat",3,IF(tips!C209="Thur",4))))</f>
        <v>3</v>
      </c>
      <c r="E209" s="2">
        <v>2</v>
      </c>
      <c r="F209" s="2">
        <v>24.27</v>
      </c>
      <c r="G209" s="8">
        <v>2.0299999999999998</v>
      </c>
      <c r="H209" s="2"/>
      <c r="I209" s="3">
        <v>0.75944339705833896</v>
      </c>
      <c r="J209" s="3">
        <f t="shared" si="27"/>
        <v>3.7183538040686311E-2</v>
      </c>
      <c r="K209" s="3">
        <f t="shared" si="28"/>
        <v>-0.14737551705234733</v>
      </c>
      <c r="L209" s="3">
        <f t="shared" si="29"/>
        <v>8.8727762736486165E-2</v>
      </c>
      <c r="M209" s="3">
        <f t="shared" si="30"/>
        <v>-0.16049652843020407</v>
      </c>
      <c r="N209" s="3">
        <f t="shared" si="31"/>
        <v>0.34786623214719364</v>
      </c>
      <c r="O209" s="3">
        <f t="shared" si="32"/>
        <v>2.2904577125748116</v>
      </c>
      <c r="P209" s="8">
        <f t="shared" si="33"/>
        <v>3.2158065970749652</v>
      </c>
      <c r="Q209" s="2">
        <f t="shared" si="34"/>
        <v>-1.1858065970749654</v>
      </c>
      <c r="R209">
        <f t="shared" si="35"/>
        <v>1.4061372856665093</v>
      </c>
    </row>
    <row r="210" spans="1:18" x14ac:dyDescent="0.2">
      <c r="A210">
        <f>IF(tips!A210="Male",1,2)</f>
        <v>2</v>
      </c>
      <c r="B210">
        <f>IF(tips!B210="No",1,2)</f>
        <v>2</v>
      </c>
      <c r="C210">
        <f>IF(tips!D210="Dinner",1,2)</f>
        <v>1</v>
      </c>
      <c r="D210">
        <f>IF(tips!C210="Sun",1,IF(tips!C210="Fri",2,IF(tips!C210="Sat",3,IF(tips!C210="Thur",4))))</f>
        <v>3</v>
      </c>
      <c r="E210" s="2">
        <v>2</v>
      </c>
      <c r="F210" s="2">
        <v>12.76</v>
      </c>
      <c r="G210" s="8">
        <v>2.23</v>
      </c>
      <c r="H210" s="2"/>
      <c r="I210" s="3">
        <v>0.75944339705833896</v>
      </c>
      <c r="J210" s="3">
        <f t="shared" si="27"/>
        <v>7.4367076081372621E-2</v>
      </c>
      <c r="K210" s="3">
        <f t="shared" si="28"/>
        <v>-0.14737551705234733</v>
      </c>
      <c r="L210" s="3">
        <f t="shared" si="29"/>
        <v>8.8727762736486165E-2</v>
      </c>
      <c r="M210" s="3">
        <f t="shared" si="30"/>
        <v>-0.16049652843020407</v>
      </c>
      <c r="N210" s="3">
        <f t="shared" si="31"/>
        <v>0.34786623214719364</v>
      </c>
      <c r="O210" s="3">
        <f t="shared" si="32"/>
        <v>1.2042126251526408</v>
      </c>
      <c r="P210" s="8">
        <f t="shared" si="33"/>
        <v>2.1667450476934809</v>
      </c>
      <c r="Q210" s="2">
        <f t="shared" si="34"/>
        <v>6.3254952306519119E-2</v>
      </c>
      <c r="R210">
        <f t="shared" si="35"/>
        <v>4.0011889913000084E-3</v>
      </c>
    </row>
    <row r="211" spans="1:18" x14ac:dyDescent="0.2">
      <c r="A211">
        <f>IF(tips!A211="Male",1,2)</f>
        <v>1</v>
      </c>
      <c r="B211">
        <f>IF(tips!B211="No",1,2)</f>
        <v>2</v>
      </c>
      <c r="C211">
        <f>IF(tips!D211="Dinner",1,2)</f>
        <v>1</v>
      </c>
      <c r="D211">
        <f>IF(tips!C211="Sun",1,IF(tips!C211="Fri",2,IF(tips!C211="Sat",3,IF(tips!C211="Thur",4))))</f>
        <v>3</v>
      </c>
      <c r="E211" s="2">
        <v>3</v>
      </c>
      <c r="F211" s="2">
        <v>30.06</v>
      </c>
      <c r="G211" s="8">
        <v>2</v>
      </c>
      <c r="H211" s="2"/>
      <c r="I211" s="3">
        <v>0.75944339705833896</v>
      </c>
      <c r="J211" s="3">
        <f t="shared" si="27"/>
        <v>3.7183538040686311E-2</v>
      </c>
      <c r="K211" s="3">
        <f t="shared" si="28"/>
        <v>-0.14737551705234733</v>
      </c>
      <c r="L211" s="3">
        <f t="shared" si="29"/>
        <v>8.8727762736486165E-2</v>
      </c>
      <c r="M211" s="3">
        <f t="shared" si="30"/>
        <v>-0.16049652843020407</v>
      </c>
      <c r="N211" s="3">
        <f t="shared" si="31"/>
        <v>0.52179934822079044</v>
      </c>
      <c r="O211" s="3">
        <f t="shared" si="32"/>
        <v>2.8368833473423498</v>
      </c>
      <c r="P211" s="8">
        <f t="shared" si="33"/>
        <v>3.9361653479161003</v>
      </c>
      <c r="Q211" s="2">
        <f t="shared" si="34"/>
        <v>-1.9361653479161003</v>
      </c>
      <c r="R211">
        <f t="shared" si="35"/>
        <v>3.7487362544710736</v>
      </c>
    </row>
    <row r="212" spans="1:18" x14ac:dyDescent="0.2">
      <c r="A212">
        <f>IF(tips!A212="Male",1,2)</f>
        <v>1</v>
      </c>
      <c r="B212">
        <f>IF(tips!B212="No",1,2)</f>
        <v>2</v>
      </c>
      <c r="C212">
        <f>IF(tips!D212="Dinner",1,2)</f>
        <v>1</v>
      </c>
      <c r="D212">
        <f>IF(tips!C212="Sun",1,IF(tips!C212="Fri",2,IF(tips!C212="Sat",3,IF(tips!C212="Thur",4))))</f>
        <v>3</v>
      </c>
      <c r="E212" s="2">
        <v>4</v>
      </c>
      <c r="F212" s="2">
        <v>25.89</v>
      </c>
      <c r="G212" s="8">
        <v>5.16</v>
      </c>
      <c r="H212" s="2"/>
      <c r="I212" s="3">
        <v>0.75944339705833896</v>
      </c>
      <c r="J212" s="3">
        <f t="shared" si="27"/>
        <v>3.7183538040686311E-2</v>
      </c>
      <c r="K212" s="3">
        <f t="shared" si="28"/>
        <v>-0.14737551705234733</v>
      </c>
      <c r="L212" s="3">
        <f t="shared" si="29"/>
        <v>8.8727762736486165E-2</v>
      </c>
      <c r="M212" s="3">
        <f t="shared" si="30"/>
        <v>-0.16049652843020407</v>
      </c>
      <c r="N212" s="3">
        <f t="shared" si="31"/>
        <v>0.69573246429438729</v>
      </c>
      <c r="O212" s="3">
        <f t="shared" si="32"/>
        <v>2.443343641473501</v>
      </c>
      <c r="P212" s="8">
        <f t="shared" si="33"/>
        <v>3.7165587581208483</v>
      </c>
      <c r="Q212" s="2">
        <f t="shared" si="34"/>
        <v>1.4434412418791518</v>
      </c>
      <c r="R212">
        <f t="shared" si="35"/>
        <v>2.0835226187576281</v>
      </c>
    </row>
    <row r="213" spans="1:18" x14ac:dyDescent="0.2">
      <c r="A213">
        <f>IF(tips!A213="Male",1,2)</f>
        <v>1</v>
      </c>
      <c r="B213">
        <f>IF(tips!B213="No",1,2)</f>
        <v>1</v>
      </c>
      <c r="C213">
        <f>IF(tips!D213="Dinner",1,2)</f>
        <v>1</v>
      </c>
      <c r="D213">
        <f>IF(tips!C213="Sun",1,IF(tips!C213="Fri",2,IF(tips!C213="Sat",3,IF(tips!C213="Thur",4))))</f>
        <v>3</v>
      </c>
      <c r="E213" s="2">
        <v>4</v>
      </c>
      <c r="F213" s="2">
        <v>48.33</v>
      </c>
      <c r="G213" s="8">
        <v>9</v>
      </c>
      <c r="H213" s="2"/>
      <c r="I213" s="3">
        <v>0.75944339705833896</v>
      </c>
      <c r="J213" s="3">
        <f t="shared" si="27"/>
        <v>3.7183538040686311E-2</v>
      </c>
      <c r="K213" s="3">
        <f t="shared" si="28"/>
        <v>-7.3687758526173666E-2</v>
      </c>
      <c r="L213" s="3">
        <f t="shared" si="29"/>
        <v>8.8727762736486165E-2</v>
      </c>
      <c r="M213" s="3">
        <f t="shared" si="30"/>
        <v>-0.16049652843020407</v>
      </c>
      <c r="N213" s="3">
        <f t="shared" si="31"/>
        <v>0.69573246429438729</v>
      </c>
      <c r="O213" s="3">
        <f t="shared" si="32"/>
        <v>4.5610968788109041</v>
      </c>
      <c r="P213" s="8">
        <f t="shared" si="33"/>
        <v>5.9079997539844253</v>
      </c>
      <c r="Q213" s="2">
        <f t="shared" si="34"/>
        <v>3.0920002460155747</v>
      </c>
      <c r="R213">
        <f t="shared" si="35"/>
        <v>9.5604655213603742</v>
      </c>
    </row>
    <row r="214" spans="1:18" x14ac:dyDescent="0.2">
      <c r="A214">
        <f>IF(tips!A214="Male",1,2)</f>
        <v>2</v>
      </c>
      <c r="B214">
        <f>IF(tips!B214="No",1,2)</f>
        <v>2</v>
      </c>
      <c r="C214">
        <f>IF(tips!D214="Dinner",1,2)</f>
        <v>1</v>
      </c>
      <c r="D214">
        <f>IF(tips!C214="Sun",1,IF(tips!C214="Fri",2,IF(tips!C214="Sat",3,IF(tips!C214="Thur",4))))</f>
        <v>3</v>
      </c>
      <c r="E214" s="2">
        <v>2</v>
      </c>
      <c r="F214" s="2">
        <v>13.27</v>
      </c>
      <c r="G214" s="8">
        <v>2.5</v>
      </c>
      <c r="H214" s="2"/>
      <c r="I214" s="3">
        <v>0.75944339705833896</v>
      </c>
      <c r="J214" s="3">
        <f t="shared" si="27"/>
        <v>7.4367076081372621E-2</v>
      </c>
      <c r="K214" s="3">
        <f t="shared" si="28"/>
        <v>-0.14737551705234733</v>
      </c>
      <c r="L214" s="3">
        <f t="shared" si="29"/>
        <v>8.8727762736486165E-2</v>
      </c>
      <c r="M214" s="3">
        <f t="shared" si="30"/>
        <v>-0.16049652843020407</v>
      </c>
      <c r="N214" s="3">
        <f t="shared" si="31"/>
        <v>0.34786623214719364</v>
      </c>
      <c r="O214" s="3">
        <f t="shared" si="32"/>
        <v>1.2523433805466728</v>
      </c>
      <c r="P214" s="8">
        <f t="shared" si="33"/>
        <v>2.2148758030875131</v>
      </c>
      <c r="Q214" s="2">
        <f t="shared" si="34"/>
        <v>0.28512419691248692</v>
      </c>
      <c r="R214">
        <f t="shared" si="35"/>
        <v>8.1295807664990616E-2</v>
      </c>
    </row>
    <row r="215" spans="1:18" x14ac:dyDescent="0.2">
      <c r="A215">
        <f>IF(tips!A215="Male",1,2)</f>
        <v>2</v>
      </c>
      <c r="B215">
        <f>IF(tips!B215="No",1,2)</f>
        <v>2</v>
      </c>
      <c r="C215">
        <f>IF(tips!D215="Dinner",1,2)</f>
        <v>1</v>
      </c>
      <c r="D215">
        <f>IF(tips!C215="Sun",1,IF(tips!C215="Fri",2,IF(tips!C215="Sat",3,IF(tips!C215="Thur",4))))</f>
        <v>3</v>
      </c>
      <c r="E215" s="2">
        <v>3</v>
      </c>
      <c r="F215" s="2">
        <v>28.17</v>
      </c>
      <c r="G215" s="8">
        <v>6.5</v>
      </c>
      <c r="H215" s="2"/>
      <c r="I215" s="3">
        <v>0.75944339705833896</v>
      </c>
      <c r="J215" s="3">
        <f t="shared" si="27"/>
        <v>7.4367076081372621E-2</v>
      </c>
      <c r="K215" s="3">
        <f t="shared" si="28"/>
        <v>-0.14737551705234733</v>
      </c>
      <c r="L215" s="3">
        <f t="shared" si="29"/>
        <v>8.8727762736486165E-2</v>
      </c>
      <c r="M215" s="3">
        <f t="shared" si="30"/>
        <v>-0.16049652843020407</v>
      </c>
      <c r="N215" s="3">
        <f t="shared" si="31"/>
        <v>0.52179934822079044</v>
      </c>
      <c r="O215" s="3">
        <f t="shared" si="32"/>
        <v>2.6585164302938789</v>
      </c>
      <c r="P215" s="8">
        <f t="shared" si="33"/>
        <v>3.7949819689083157</v>
      </c>
      <c r="Q215" s="2">
        <f t="shared" si="34"/>
        <v>2.7050180310916843</v>
      </c>
      <c r="R215">
        <f t="shared" si="35"/>
        <v>7.317122548531132</v>
      </c>
    </row>
    <row r="216" spans="1:18" x14ac:dyDescent="0.2">
      <c r="A216">
        <f>IF(tips!A216="Male",1,2)</f>
        <v>2</v>
      </c>
      <c r="B216">
        <f>IF(tips!B216="No",1,2)</f>
        <v>2</v>
      </c>
      <c r="C216">
        <f>IF(tips!D216="Dinner",1,2)</f>
        <v>1</v>
      </c>
      <c r="D216">
        <f>IF(tips!C216="Sun",1,IF(tips!C216="Fri",2,IF(tips!C216="Sat",3,IF(tips!C216="Thur",4))))</f>
        <v>3</v>
      </c>
      <c r="E216" s="2">
        <v>2</v>
      </c>
      <c r="F216" s="2">
        <v>12.9</v>
      </c>
      <c r="G216" s="8">
        <v>1.1000000000000001</v>
      </c>
      <c r="H216" s="2"/>
      <c r="I216" s="3">
        <v>0.75944339705833896</v>
      </c>
      <c r="J216" s="3">
        <f t="shared" si="27"/>
        <v>7.4367076081372621E-2</v>
      </c>
      <c r="K216" s="3">
        <f t="shared" si="28"/>
        <v>-0.14737551705234733</v>
      </c>
      <c r="L216" s="3">
        <f t="shared" si="29"/>
        <v>8.8727762736486165E-2</v>
      </c>
      <c r="M216" s="3">
        <f t="shared" si="30"/>
        <v>-0.16049652843020407</v>
      </c>
      <c r="N216" s="3">
        <f t="shared" si="31"/>
        <v>0.34786623214719364</v>
      </c>
      <c r="O216" s="3">
        <f t="shared" si="32"/>
        <v>1.2174249893784537</v>
      </c>
      <c r="P216" s="8">
        <f t="shared" si="33"/>
        <v>2.1799574119192937</v>
      </c>
      <c r="Q216" s="2">
        <f t="shared" si="34"/>
        <v>-1.0799574119192936</v>
      </c>
      <c r="R216">
        <f t="shared" si="35"/>
        <v>1.1663080115594189</v>
      </c>
    </row>
    <row r="217" spans="1:18" x14ac:dyDescent="0.2">
      <c r="A217">
        <f>IF(tips!A217="Male",1,2)</f>
        <v>1</v>
      </c>
      <c r="B217">
        <f>IF(tips!B217="No",1,2)</f>
        <v>2</v>
      </c>
      <c r="C217">
        <f>IF(tips!D217="Dinner",1,2)</f>
        <v>1</v>
      </c>
      <c r="D217">
        <f>IF(tips!C217="Sun",1,IF(tips!C217="Fri",2,IF(tips!C217="Sat",3,IF(tips!C217="Thur",4))))</f>
        <v>3</v>
      </c>
      <c r="E217" s="2">
        <v>5</v>
      </c>
      <c r="F217" s="2">
        <v>28.15</v>
      </c>
      <c r="G217" s="8">
        <v>3</v>
      </c>
      <c r="H217" s="2"/>
      <c r="I217" s="3">
        <v>0.75944339705833896</v>
      </c>
      <c r="J217" s="3">
        <f t="shared" si="27"/>
        <v>3.7183538040686311E-2</v>
      </c>
      <c r="K217" s="3">
        <f t="shared" si="28"/>
        <v>-0.14737551705234733</v>
      </c>
      <c r="L217" s="3">
        <f t="shared" si="29"/>
        <v>8.8727762736486165E-2</v>
      </c>
      <c r="M217" s="3">
        <f t="shared" si="30"/>
        <v>-0.16049652843020407</v>
      </c>
      <c r="N217" s="3">
        <f t="shared" si="31"/>
        <v>0.86966558036798414</v>
      </c>
      <c r="O217" s="3">
        <f t="shared" si="32"/>
        <v>2.6566289496901914</v>
      </c>
      <c r="P217" s="8">
        <f t="shared" si="33"/>
        <v>4.103777182411136</v>
      </c>
      <c r="Q217" s="2">
        <f t="shared" si="34"/>
        <v>-1.103777182411136</v>
      </c>
      <c r="R217">
        <f t="shared" si="35"/>
        <v>1.2183240684114662</v>
      </c>
    </row>
    <row r="218" spans="1:18" x14ac:dyDescent="0.2">
      <c r="A218">
        <f>IF(tips!A218="Male",1,2)</f>
        <v>1</v>
      </c>
      <c r="B218">
        <f>IF(tips!B218="No",1,2)</f>
        <v>2</v>
      </c>
      <c r="C218">
        <f>IF(tips!D218="Dinner",1,2)</f>
        <v>1</v>
      </c>
      <c r="D218">
        <f>IF(tips!C218="Sun",1,IF(tips!C218="Fri",2,IF(tips!C218="Sat",3,IF(tips!C218="Thur",4))))</f>
        <v>3</v>
      </c>
      <c r="E218" s="2">
        <v>2</v>
      </c>
      <c r="F218" s="2">
        <v>11.59</v>
      </c>
      <c r="G218" s="8">
        <v>1.5</v>
      </c>
      <c r="H218" s="2"/>
      <c r="I218" s="3">
        <v>0.75944339705833896</v>
      </c>
      <c r="J218" s="3">
        <f t="shared" si="27"/>
        <v>3.7183538040686311E-2</v>
      </c>
      <c r="K218" s="3">
        <f t="shared" si="28"/>
        <v>-0.14737551705234733</v>
      </c>
      <c r="L218" s="3">
        <f t="shared" si="29"/>
        <v>8.8727762736486165E-2</v>
      </c>
      <c r="M218" s="3">
        <f t="shared" si="30"/>
        <v>-0.16049652843020407</v>
      </c>
      <c r="N218" s="3">
        <f t="shared" si="31"/>
        <v>0.34786623214719364</v>
      </c>
      <c r="O218" s="3">
        <f t="shared" si="32"/>
        <v>1.0937950098369207</v>
      </c>
      <c r="P218" s="8">
        <f t="shared" si="33"/>
        <v>2.0191438943370743</v>
      </c>
      <c r="Q218" s="2">
        <f t="shared" si="34"/>
        <v>-0.51914389433707431</v>
      </c>
      <c r="R218">
        <f t="shared" si="35"/>
        <v>0.26951038302746338</v>
      </c>
    </row>
    <row r="219" spans="1:18" x14ac:dyDescent="0.2">
      <c r="A219">
        <f>IF(tips!A219="Male",1,2)</f>
        <v>1</v>
      </c>
      <c r="B219">
        <f>IF(tips!B219="No",1,2)</f>
        <v>2</v>
      </c>
      <c r="C219">
        <f>IF(tips!D219="Dinner",1,2)</f>
        <v>1</v>
      </c>
      <c r="D219">
        <f>IF(tips!C219="Sun",1,IF(tips!C219="Fri",2,IF(tips!C219="Sat",3,IF(tips!C219="Thur",4))))</f>
        <v>3</v>
      </c>
      <c r="E219" s="2">
        <v>2</v>
      </c>
      <c r="F219" s="2">
        <v>7.74</v>
      </c>
      <c r="G219" s="8">
        <v>1.44</v>
      </c>
      <c r="H219" s="2"/>
      <c r="I219" s="3">
        <v>0.75944339705833896</v>
      </c>
      <c r="J219" s="3">
        <f t="shared" si="27"/>
        <v>3.7183538040686311E-2</v>
      </c>
      <c r="K219" s="3">
        <f t="shared" si="28"/>
        <v>-0.14737551705234733</v>
      </c>
      <c r="L219" s="3">
        <f t="shared" si="29"/>
        <v>8.8727762736486165E-2</v>
      </c>
      <c r="M219" s="3">
        <f t="shared" si="30"/>
        <v>-0.16049652843020407</v>
      </c>
      <c r="N219" s="3">
        <f t="shared" si="31"/>
        <v>0.34786623214719364</v>
      </c>
      <c r="O219" s="3">
        <f t="shared" si="32"/>
        <v>0.73045499362707222</v>
      </c>
      <c r="P219" s="8">
        <f t="shared" si="33"/>
        <v>1.6558038781272262</v>
      </c>
      <c r="Q219" s="2">
        <f t="shared" si="34"/>
        <v>-0.21580387812722623</v>
      </c>
      <c r="R219">
        <f t="shared" si="35"/>
        <v>4.6571313814750714E-2</v>
      </c>
    </row>
    <row r="220" spans="1:18" x14ac:dyDescent="0.2">
      <c r="A220">
        <f>IF(tips!A220="Male",1,2)</f>
        <v>2</v>
      </c>
      <c r="B220">
        <f>IF(tips!B220="No",1,2)</f>
        <v>2</v>
      </c>
      <c r="C220">
        <f>IF(tips!D220="Dinner",1,2)</f>
        <v>1</v>
      </c>
      <c r="D220">
        <f>IF(tips!C220="Sun",1,IF(tips!C220="Fri",2,IF(tips!C220="Sat",3,IF(tips!C220="Thur",4))))</f>
        <v>3</v>
      </c>
      <c r="E220" s="2">
        <v>4</v>
      </c>
      <c r="F220" s="2">
        <v>30.14</v>
      </c>
      <c r="G220" s="8">
        <v>3.09</v>
      </c>
      <c r="H220" s="2"/>
      <c r="I220" s="3">
        <v>0.75944339705833896</v>
      </c>
      <c r="J220" s="3">
        <f t="shared" si="27"/>
        <v>7.4367076081372621E-2</v>
      </c>
      <c r="K220" s="3">
        <f t="shared" si="28"/>
        <v>-0.14737551705234733</v>
      </c>
      <c r="L220" s="3">
        <f t="shared" si="29"/>
        <v>8.8727762736486165E-2</v>
      </c>
      <c r="M220" s="3">
        <f t="shared" si="30"/>
        <v>-0.16049652843020407</v>
      </c>
      <c r="N220" s="3">
        <f t="shared" si="31"/>
        <v>0.69573246429438729</v>
      </c>
      <c r="O220" s="3">
        <f t="shared" si="32"/>
        <v>2.8444332697571002</v>
      </c>
      <c r="P220" s="8">
        <f t="shared" si="33"/>
        <v>4.1548319244451335</v>
      </c>
      <c r="Q220" s="2">
        <f t="shared" si="34"/>
        <v>-1.0648319244451336</v>
      </c>
      <c r="R220">
        <f t="shared" si="35"/>
        <v>1.1338670273175269</v>
      </c>
    </row>
    <row r="221" spans="1:18" x14ac:dyDescent="0.2">
      <c r="A221">
        <f>IF(tips!A221="Male",1,2)</f>
        <v>1</v>
      </c>
      <c r="B221">
        <f>IF(tips!B221="No",1,2)</f>
        <v>2</v>
      </c>
      <c r="C221">
        <f>IF(tips!D221="Dinner",1,2)</f>
        <v>2</v>
      </c>
      <c r="D221">
        <f>IF(tips!C221="Sun",1,IF(tips!C221="Fri",2,IF(tips!C221="Sat",3,IF(tips!C221="Thur",4))))</f>
        <v>2</v>
      </c>
      <c r="E221" s="2">
        <v>2</v>
      </c>
      <c r="F221" s="2">
        <v>12.16</v>
      </c>
      <c r="G221" s="8">
        <v>2.2000000000000002</v>
      </c>
      <c r="H221" s="2"/>
      <c r="I221" s="3">
        <v>0.75944339705833896</v>
      </c>
      <c r="J221" s="3">
        <f t="shared" si="27"/>
        <v>3.7183538040686311E-2</v>
      </c>
      <c r="K221" s="3">
        <f t="shared" si="28"/>
        <v>-0.14737551705234733</v>
      </c>
      <c r="L221" s="3">
        <f t="shared" si="29"/>
        <v>0.17745552547297233</v>
      </c>
      <c r="M221" s="3">
        <f t="shared" si="30"/>
        <v>-0.10699768562013605</v>
      </c>
      <c r="N221" s="3">
        <f t="shared" si="31"/>
        <v>0.34786623214719364</v>
      </c>
      <c r="O221" s="3">
        <f t="shared" si="32"/>
        <v>1.1475882070420151</v>
      </c>
      <c r="P221" s="8">
        <f t="shared" si="33"/>
        <v>2.2151636970887232</v>
      </c>
      <c r="Q221" s="2">
        <f t="shared" si="34"/>
        <v>-1.5163697088723005E-2</v>
      </c>
      <c r="R221">
        <f t="shared" si="35"/>
        <v>2.2993770939854654E-4</v>
      </c>
    </row>
    <row r="222" spans="1:18" x14ac:dyDescent="0.2">
      <c r="A222">
        <f>IF(tips!A222="Male",1,2)</f>
        <v>2</v>
      </c>
      <c r="B222">
        <f>IF(tips!B222="No",1,2)</f>
        <v>2</v>
      </c>
      <c r="C222">
        <f>IF(tips!D222="Dinner",1,2)</f>
        <v>2</v>
      </c>
      <c r="D222">
        <f>IF(tips!C222="Sun",1,IF(tips!C222="Fri",2,IF(tips!C222="Sat",3,IF(tips!C222="Thur",4))))</f>
        <v>2</v>
      </c>
      <c r="E222" s="2">
        <v>2</v>
      </c>
      <c r="F222" s="2">
        <v>13.42</v>
      </c>
      <c r="G222" s="8">
        <v>3.48</v>
      </c>
      <c r="H222" s="2"/>
      <c r="I222" s="3">
        <v>0.75944339705833896</v>
      </c>
      <c r="J222" s="3">
        <f t="shared" si="27"/>
        <v>7.4367076081372621E-2</v>
      </c>
      <c r="K222" s="3">
        <f t="shared" si="28"/>
        <v>-0.14737551705234733</v>
      </c>
      <c r="L222" s="3">
        <f t="shared" si="29"/>
        <v>0.17745552547297233</v>
      </c>
      <c r="M222" s="3">
        <f t="shared" si="30"/>
        <v>-0.10699768562013605</v>
      </c>
      <c r="N222" s="3">
        <f t="shared" si="31"/>
        <v>0.34786623214719364</v>
      </c>
      <c r="O222" s="3">
        <f t="shared" si="32"/>
        <v>1.2664994850743292</v>
      </c>
      <c r="P222" s="8">
        <f t="shared" si="33"/>
        <v>2.3712585131617234</v>
      </c>
      <c r="Q222" s="2">
        <f t="shared" si="34"/>
        <v>1.1087414868382766</v>
      </c>
      <c r="R222">
        <f t="shared" si="35"/>
        <v>1.2293076846363522</v>
      </c>
    </row>
    <row r="223" spans="1:18" x14ac:dyDescent="0.2">
      <c r="A223">
        <f>IF(tips!A223="Male",1,2)</f>
        <v>1</v>
      </c>
      <c r="B223">
        <f>IF(tips!B223="No",1,2)</f>
        <v>2</v>
      </c>
      <c r="C223">
        <f>IF(tips!D223="Dinner",1,2)</f>
        <v>2</v>
      </c>
      <c r="D223">
        <f>IF(tips!C223="Sun",1,IF(tips!C223="Fri",2,IF(tips!C223="Sat",3,IF(tips!C223="Thur",4))))</f>
        <v>2</v>
      </c>
      <c r="E223" s="2">
        <v>1</v>
      </c>
      <c r="F223" s="2">
        <v>8.58</v>
      </c>
      <c r="G223" s="8">
        <v>1.92</v>
      </c>
      <c r="H223" s="2"/>
      <c r="I223" s="3">
        <v>0.75944339705833896</v>
      </c>
      <c r="J223" s="3">
        <f t="shared" si="27"/>
        <v>3.7183538040686311E-2</v>
      </c>
      <c r="K223" s="3">
        <f t="shared" si="28"/>
        <v>-0.14737551705234733</v>
      </c>
      <c r="L223" s="3">
        <f t="shared" si="29"/>
        <v>0.17745552547297233</v>
      </c>
      <c r="M223" s="3">
        <f t="shared" si="30"/>
        <v>-0.10699768562013605</v>
      </c>
      <c r="N223" s="3">
        <f t="shared" si="31"/>
        <v>0.17393311607359682</v>
      </c>
      <c r="O223" s="3">
        <f t="shared" si="32"/>
        <v>0.80972917898194818</v>
      </c>
      <c r="P223" s="8">
        <f t="shared" si="33"/>
        <v>1.7033715529550593</v>
      </c>
      <c r="Q223" s="2">
        <f t="shared" si="34"/>
        <v>0.21662844704494066</v>
      </c>
      <c r="R223">
        <f t="shared" si="35"/>
        <v>4.6927884069102664E-2</v>
      </c>
    </row>
    <row r="224" spans="1:18" x14ac:dyDescent="0.2">
      <c r="A224">
        <f>IF(tips!A224="Male",1,2)</f>
        <v>2</v>
      </c>
      <c r="B224">
        <f>IF(tips!B224="No",1,2)</f>
        <v>1</v>
      </c>
      <c r="C224">
        <f>IF(tips!D224="Dinner",1,2)</f>
        <v>2</v>
      </c>
      <c r="D224">
        <f>IF(tips!C224="Sun",1,IF(tips!C224="Fri",2,IF(tips!C224="Sat",3,IF(tips!C224="Thur",4))))</f>
        <v>2</v>
      </c>
      <c r="E224" s="2">
        <v>3</v>
      </c>
      <c r="F224" s="2">
        <v>15.98</v>
      </c>
      <c r="G224" s="8">
        <v>3</v>
      </c>
      <c r="H224" s="2"/>
      <c r="I224" s="3">
        <v>0.75944339705833896</v>
      </c>
      <c r="J224" s="3">
        <f t="shared" si="27"/>
        <v>7.4367076081372621E-2</v>
      </c>
      <c r="K224" s="3">
        <f t="shared" si="28"/>
        <v>-7.3687758526173666E-2</v>
      </c>
      <c r="L224" s="3">
        <f t="shared" si="29"/>
        <v>0.17745552547297233</v>
      </c>
      <c r="M224" s="3">
        <f t="shared" si="30"/>
        <v>-0.10699768562013605</v>
      </c>
      <c r="N224" s="3">
        <f t="shared" si="31"/>
        <v>0.52179934822079044</v>
      </c>
      <c r="O224" s="3">
        <f t="shared" si="32"/>
        <v>1.5080970023463325</v>
      </c>
      <c r="P224" s="8">
        <f t="shared" si="33"/>
        <v>2.8604769050334973</v>
      </c>
      <c r="Q224" s="2">
        <f t="shared" si="34"/>
        <v>0.13952309496650273</v>
      </c>
      <c r="R224">
        <f t="shared" si="35"/>
        <v>1.9466694029031738E-2</v>
      </c>
    </row>
    <row r="225" spans="1:18" x14ac:dyDescent="0.2">
      <c r="A225">
        <f>IF(tips!A225="Male",1,2)</f>
        <v>1</v>
      </c>
      <c r="B225">
        <f>IF(tips!B225="No",1,2)</f>
        <v>2</v>
      </c>
      <c r="C225">
        <f>IF(tips!D225="Dinner",1,2)</f>
        <v>2</v>
      </c>
      <c r="D225">
        <f>IF(tips!C225="Sun",1,IF(tips!C225="Fri",2,IF(tips!C225="Sat",3,IF(tips!C225="Thur",4))))</f>
        <v>2</v>
      </c>
      <c r="E225" s="2">
        <v>2</v>
      </c>
      <c r="F225" s="2">
        <v>13.42</v>
      </c>
      <c r="G225" s="8">
        <v>1.58</v>
      </c>
      <c r="H225" s="2"/>
      <c r="I225" s="3">
        <v>0.75944339705833896</v>
      </c>
      <c r="J225" s="3">
        <f t="shared" si="27"/>
        <v>3.7183538040686311E-2</v>
      </c>
      <c r="K225" s="3">
        <f t="shared" si="28"/>
        <v>-0.14737551705234733</v>
      </c>
      <c r="L225" s="3">
        <f t="shared" si="29"/>
        <v>0.17745552547297233</v>
      </c>
      <c r="M225" s="3">
        <f t="shared" si="30"/>
        <v>-0.10699768562013605</v>
      </c>
      <c r="N225" s="3">
        <f t="shared" si="31"/>
        <v>0.34786623214719364</v>
      </c>
      <c r="O225" s="3">
        <f t="shared" si="32"/>
        <v>1.2664994850743292</v>
      </c>
      <c r="P225" s="8">
        <f t="shared" si="33"/>
        <v>2.3340749751210375</v>
      </c>
      <c r="Q225" s="2">
        <f t="shared" si="34"/>
        <v>-0.75407497512103738</v>
      </c>
      <c r="R225">
        <f t="shared" si="35"/>
        <v>0.5686290681037931</v>
      </c>
    </row>
    <row r="226" spans="1:18" x14ac:dyDescent="0.2">
      <c r="A226">
        <f>IF(tips!A226="Male",1,2)</f>
        <v>2</v>
      </c>
      <c r="B226">
        <f>IF(tips!B226="No",1,2)</f>
        <v>2</v>
      </c>
      <c r="C226">
        <f>IF(tips!D226="Dinner",1,2)</f>
        <v>2</v>
      </c>
      <c r="D226">
        <f>IF(tips!C226="Sun",1,IF(tips!C226="Fri",2,IF(tips!C226="Sat",3,IF(tips!C226="Thur",4))))</f>
        <v>2</v>
      </c>
      <c r="E226" s="2">
        <v>2</v>
      </c>
      <c r="F226" s="2">
        <v>16.27</v>
      </c>
      <c r="G226" s="8">
        <v>2.5</v>
      </c>
      <c r="H226" s="2"/>
      <c r="I226" s="3">
        <v>0.75944339705833896</v>
      </c>
      <c r="J226" s="3">
        <f t="shared" si="27"/>
        <v>7.4367076081372621E-2</v>
      </c>
      <c r="K226" s="3">
        <f t="shared" si="28"/>
        <v>-0.14737551705234733</v>
      </c>
      <c r="L226" s="3">
        <f t="shared" si="29"/>
        <v>0.17745552547297233</v>
      </c>
      <c r="M226" s="3">
        <f t="shared" si="30"/>
        <v>-0.10699768562013605</v>
      </c>
      <c r="N226" s="3">
        <f t="shared" si="31"/>
        <v>0.34786623214719364</v>
      </c>
      <c r="O226" s="3">
        <f t="shared" si="32"/>
        <v>1.5354654710998015</v>
      </c>
      <c r="P226" s="8">
        <f t="shared" si="33"/>
        <v>2.6402244991871955</v>
      </c>
      <c r="Q226" s="2">
        <f t="shared" si="34"/>
        <v>-0.14022449918719548</v>
      </c>
      <c r="R226">
        <f t="shared" si="35"/>
        <v>1.9662910172299788E-2</v>
      </c>
    </row>
    <row r="227" spans="1:18" x14ac:dyDescent="0.2">
      <c r="A227">
        <f>IF(tips!A227="Male",1,2)</f>
        <v>2</v>
      </c>
      <c r="B227">
        <f>IF(tips!B227="No",1,2)</f>
        <v>2</v>
      </c>
      <c r="C227">
        <f>IF(tips!D227="Dinner",1,2)</f>
        <v>2</v>
      </c>
      <c r="D227">
        <f>IF(tips!C227="Sun",1,IF(tips!C227="Fri",2,IF(tips!C227="Sat",3,IF(tips!C227="Thur",4))))</f>
        <v>2</v>
      </c>
      <c r="E227" s="2">
        <v>2</v>
      </c>
      <c r="F227" s="2">
        <v>10.09</v>
      </c>
      <c r="G227" s="8">
        <v>2</v>
      </c>
      <c r="H227" s="2"/>
      <c r="I227" s="3">
        <v>0.75944339705833896</v>
      </c>
      <c r="J227" s="3">
        <f t="shared" si="27"/>
        <v>7.4367076081372621E-2</v>
      </c>
      <c r="K227" s="3">
        <f t="shared" si="28"/>
        <v>-0.14737551705234733</v>
      </c>
      <c r="L227" s="3">
        <f t="shared" si="29"/>
        <v>0.17745552547297233</v>
      </c>
      <c r="M227" s="3">
        <f t="shared" si="30"/>
        <v>-0.10699768562013605</v>
      </c>
      <c r="N227" s="3">
        <f t="shared" si="31"/>
        <v>0.34786623214719364</v>
      </c>
      <c r="O227" s="3">
        <f t="shared" si="32"/>
        <v>0.95223396456035636</v>
      </c>
      <c r="P227" s="8">
        <f t="shared" si="33"/>
        <v>2.0569929926477508</v>
      </c>
      <c r="Q227" s="2">
        <f t="shared" si="34"/>
        <v>-5.6992992647750818E-2</v>
      </c>
      <c r="R227">
        <f t="shared" si="35"/>
        <v>3.2482012109465788E-3</v>
      </c>
    </row>
    <row r="228" spans="1:18" x14ac:dyDescent="0.2">
      <c r="A228">
        <f>IF(tips!A228="Male",1,2)</f>
        <v>1</v>
      </c>
      <c r="B228">
        <f>IF(tips!B228="No",1,2)</f>
        <v>1</v>
      </c>
      <c r="C228">
        <f>IF(tips!D228="Dinner",1,2)</f>
        <v>1</v>
      </c>
      <c r="D228">
        <f>IF(tips!C228="Sun",1,IF(tips!C228="Fri",2,IF(tips!C228="Sat",3,IF(tips!C228="Thur",4))))</f>
        <v>3</v>
      </c>
      <c r="E228" s="2">
        <v>4</v>
      </c>
      <c r="F228" s="2">
        <v>20.45</v>
      </c>
      <c r="G228" s="8">
        <v>3</v>
      </c>
      <c r="H228" s="2"/>
      <c r="I228" s="3">
        <v>0.75944339705833896</v>
      </c>
      <c r="J228" s="3">
        <f t="shared" si="27"/>
        <v>3.7183538040686311E-2</v>
      </c>
      <c r="K228" s="3">
        <f t="shared" si="28"/>
        <v>-7.3687758526173666E-2</v>
      </c>
      <c r="L228" s="3">
        <f t="shared" si="29"/>
        <v>8.8727762736486165E-2</v>
      </c>
      <c r="M228" s="3">
        <f t="shared" si="30"/>
        <v>-0.16049652843020407</v>
      </c>
      <c r="N228" s="3">
        <f t="shared" si="31"/>
        <v>0.69573246429438729</v>
      </c>
      <c r="O228" s="3">
        <f t="shared" si="32"/>
        <v>1.9299489172704942</v>
      </c>
      <c r="P228" s="8">
        <f t="shared" si="33"/>
        <v>3.276851792444015</v>
      </c>
      <c r="Q228" s="2">
        <f t="shared" si="34"/>
        <v>-0.27685179244401503</v>
      </c>
      <c r="R228">
        <f t="shared" si="35"/>
        <v>7.6646914979463979E-2</v>
      </c>
    </row>
    <row r="229" spans="1:18" x14ac:dyDescent="0.2">
      <c r="A229">
        <f>IF(tips!A229="Male",1,2)</f>
        <v>1</v>
      </c>
      <c r="B229">
        <f>IF(tips!B229="No",1,2)</f>
        <v>1</v>
      </c>
      <c r="C229">
        <f>IF(tips!D229="Dinner",1,2)</f>
        <v>1</v>
      </c>
      <c r="D229">
        <f>IF(tips!C229="Sun",1,IF(tips!C229="Fri",2,IF(tips!C229="Sat",3,IF(tips!C229="Thur",4))))</f>
        <v>3</v>
      </c>
      <c r="E229" s="2">
        <v>2</v>
      </c>
      <c r="F229" s="2">
        <v>13.28</v>
      </c>
      <c r="G229" s="8">
        <v>2.72</v>
      </c>
      <c r="H229" s="2"/>
      <c r="I229" s="3">
        <v>0.75944339705833896</v>
      </c>
      <c r="J229" s="3">
        <f t="shared" si="27"/>
        <v>3.7183538040686311E-2</v>
      </c>
      <c r="K229" s="3">
        <f t="shared" si="28"/>
        <v>-7.3687758526173666E-2</v>
      </c>
      <c r="L229" s="3">
        <f t="shared" si="29"/>
        <v>8.8727762736486165E-2</v>
      </c>
      <c r="M229" s="3">
        <f t="shared" si="30"/>
        <v>-0.16049652843020407</v>
      </c>
      <c r="N229" s="3">
        <f t="shared" si="31"/>
        <v>0.34786623214719364</v>
      </c>
      <c r="O229" s="3">
        <f t="shared" si="32"/>
        <v>1.2532871208485166</v>
      </c>
      <c r="P229" s="8">
        <f t="shared" si="33"/>
        <v>2.2523237638748439</v>
      </c>
      <c r="Q229" s="2">
        <f t="shared" si="34"/>
        <v>0.4676762361251563</v>
      </c>
      <c r="R229">
        <f t="shared" si="35"/>
        <v>0.21872106183619294</v>
      </c>
    </row>
    <row r="230" spans="1:18" x14ac:dyDescent="0.2">
      <c r="A230">
        <f>IF(tips!A230="Male",1,2)</f>
        <v>2</v>
      </c>
      <c r="B230">
        <f>IF(tips!B230="No",1,2)</f>
        <v>2</v>
      </c>
      <c r="C230">
        <f>IF(tips!D230="Dinner",1,2)</f>
        <v>1</v>
      </c>
      <c r="D230">
        <f>IF(tips!C230="Sun",1,IF(tips!C230="Fri",2,IF(tips!C230="Sat",3,IF(tips!C230="Thur",4))))</f>
        <v>3</v>
      </c>
      <c r="E230" s="2">
        <v>2</v>
      </c>
      <c r="F230" s="2">
        <v>22.12</v>
      </c>
      <c r="G230" s="8">
        <v>2.88</v>
      </c>
      <c r="H230" s="2"/>
      <c r="I230" s="3">
        <v>0.75944339705833896</v>
      </c>
      <c r="J230" s="3">
        <f t="shared" si="27"/>
        <v>7.4367076081372621E-2</v>
      </c>
      <c r="K230" s="3">
        <f t="shared" si="28"/>
        <v>-0.14737551705234733</v>
      </c>
      <c r="L230" s="3">
        <f t="shared" si="29"/>
        <v>8.8727762736486165E-2</v>
      </c>
      <c r="M230" s="3">
        <f t="shared" si="30"/>
        <v>-0.16049652843020407</v>
      </c>
      <c r="N230" s="3">
        <f t="shared" si="31"/>
        <v>0.34786623214719364</v>
      </c>
      <c r="O230" s="3">
        <f t="shared" si="32"/>
        <v>2.0875535476784028</v>
      </c>
      <c r="P230" s="8">
        <f t="shared" si="33"/>
        <v>3.0500859702192429</v>
      </c>
      <c r="Q230" s="2">
        <f t="shared" si="34"/>
        <v>-0.17008597021924299</v>
      </c>
      <c r="R230">
        <f t="shared" si="35"/>
        <v>2.8929237265421213E-2</v>
      </c>
    </row>
    <row r="231" spans="1:18" x14ac:dyDescent="0.2">
      <c r="A231">
        <f>IF(tips!A231="Male",1,2)</f>
        <v>1</v>
      </c>
      <c r="B231">
        <f>IF(tips!B231="No",1,2)</f>
        <v>2</v>
      </c>
      <c r="C231">
        <f>IF(tips!D231="Dinner",1,2)</f>
        <v>1</v>
      </c>
      <c r="D231">
        <f>IF(tips!C231="Sun",1,IF(tips!C231="Fri",2,IF(tips!C231="Sat",3,IF(tips!C231="Thur",4))))</f>
        <v>3</v>
      </c>
      <c r="E231" s="2">
        <v>4</v>
      </c>
      <c r="F231" s="2">
        <v>24.01</v>
      </c>
      <c r="G231" s="8">
        <v>2</v>
      </c>
      <c r="H231" s="2"/>
      <c r="I231" s="3">
        <v>0.75944339705833896</v>
      </c>
      <c r="J231" s="3">
        <f t="shared" si="27"/>
        <v>3.7183538040686311E-2</v>
      </c>
      <c r="K231" s="3">
        <f t="shared" si="28"/>
        <v>-0.14737551705234733</v>
      </c>
      <c r="L231" s="3">
        <f t="shared" si="29"/>
        <v>8.8727762736486165E-2</v>
      </c>
      <c r="M231" s="3">
        <f t="shared" si="30"/>
        <v>-0.16049652843020407</v>
      </c>
      <c r="N231" s="3">
        <f t="shared" si="31"/>
        <v>0.69573246429438729</v>
      </c>
      <c r="O231" s="3">
        <f t="shared" si="32"/>
        <v>2.2659204647268738</v>
      </c>
      <c r="P231" s="8">
        <f t="shared" si="33"/>
        <v>3.5391355813742211</v>
      </c>
      <c r="Q231" s="2">
        <f t="shared" si="34"/>
        <v>-1.5391355813742211</v>
      </c>
      <c r="R231">
        <f t="shared" si="35"/>
        <v>2.3689383378521618</v>
      </c>
    </row>
    <row r="232" spans="1:18" x14ac:dyDescent="0.2">
      <c r="A232">
        <f>IF(tips!A232="Male",1,2)</f>
        <v>1</v>
      </c>
      <c r="B232">
        <f>IF(tips!B232="No",1,2)</f>
        <v>2</v>
      </c>
      <c r="C232">
        <f>IF(tips!D232="Dinner",1,2)</f>
        <v>1</v>
      </c>
      <c r="D232">
        <f>IF(tips!C232="Sun",1,IF(tips!C232="Fri",2,IF(tips!C232="Sat",3,IF(tips!C232="Thur",4))))</f>
        <v>3</v>
      </c>
      <c r="E232" s="2">
        <v>3</v>
      </c>
      <c r="F232" s="2">
        <v>15.69</v>
      </c>
      <c r="G232" s="8">
        <v>3</v>
      </c>
      <c r="H232" s="2"/>
      <c r="I232" s="3">
        <v>0.75944339705833896</v>
      </c>
      <c r="J232" s="3">
        <f t="shared" si="27"/>
        <v>3.7183538040686311E-2</v>
      </c>
      <c r="K232" s="3">
        <f t="shared" si="28"/>
        <v>-0.14737551705234733</v>
      </c>
      <c r="L232" s="3">
        <f t="shared" si="29"/>
        <v>8.8727762736486165E-2</v>
      </c>
      <c r="M232" s="3">
        <f t="shared" si="30"/>
        <v>-0.16049652843020407</v>
      </c>
      <c r="N232" s="3">
        <f t="shared" si="31"/>
        <v>0.52179934822079044</v>
      </c>
      <c r="O232" s="3">
        <f t="shared" si="32"/>
        <v>1.4807285335928633</v>
      </c>
      <c r="P232" s="8">
        <f t="shared" si="33"/>
        <v>2.5800105341666137</v>
      </c>
      <c r="Q232" s="2">
        <f t="shared" si="34"/>
        <v>0.41998946583338626</v>
      </c>
      <c r="R232">
        <f t="shared" si="35"/>
        <v>0.17639115141101311</v>
      </c>
    </row>
    <row r="233" spans="1:18" x14ac:dyDescent="0.2">
      <c r="A233">
        <f>IF(tips!A233="Male",1,2)</f>
        <v>1</v>
      </c>
      <c r="B233">
        <f>IF(tips!B233="No",1,2)</f>
        <v>1</v>
      </c>
      <c r="C233">
        <f>IF(tips!D233="Dinner",1,2)</f>
        <v>1</v>
      </c>
      <c r="D233">
        <f>IF(tips!C233="Sun",1,IF(tips!C233="Fri",2,IF(tips!C233="Sat",3,IF(tips!C233="Thur",4))))</f>
        <v>3</v>
      </c>
      <c r="E233" s="2">
        <v>2</v>
      </c>
      <c r="F233" s="2">
        <v>11.61</v>
      </c>
      <c r="G233" s="8">
        <v>3.39</v>
      </c>
      <c r="H233" s="2"/>
      <c r="I233" s="3">
        <v>0.75944339705833896</v>
      </c>
      <c r="J233" s="3">
        <f t="shared" si="27"/>
        <v>3.7183538040686311E-2</v>
      </c>
      <c r="K233" s="3">
        <f t="shared" si="28"/>
        <v>-7.3687758526173666E-2</v>
      </c>
      <c r="L233" s="3">
        <f t="shared" si="29"/>
        <v>8.8727762736486165E-2</v>
      </c>
      <c r="M233" s="3">
        <f t="shared" si="30"/>
        <v>-0.16049652843020407</v>
      </c>
      <c r="N233" s="3">
        <f t="shared" si="31"/>
        <v>0.34786623214719364</v>
      </c>
      <c r="O233" s="3">
        <f t="shared" si="32"/>
        <v>1.0956824904406082</v>
      </c>
      <c r="P233" s="8">
        <f t="shared" si="33"/>
        <v>2.0947191334669357</v>
      </c>
      <c r="Q233" s="2">
        <f t="shared" si="34"/>
        <v>1.2952808665330644</v>
      </c>
      <c r="R233">
        <f t="shared" si="35"/>
        <v>1.6777525232066461</v>
      </c>
    </row>
    <row r="234" spans="1:18" x14ac:dyDescent="0.2">
      <c r="A234">
        <f>IF(tips!A234="Male",1,2)</f>
        <v>1</v>
      </c>
      <c r="B234">
        <f>IF(tips!B234="No",1,2)</f>
        <v>1</v>
      </c>
      <c r="C234">
        <f>IF(tips!D234="Dinner",1,2)</f>
        <v>1</v>
      </c>
      <c r="D234">
        <f>IF(tips!C234="Sun",1,IF(tips!C234="Fri",2,IF(tips!C234="Sat",3,IF(tips!C234="Thur",4))))</f>
        <v>3</v>
      </c>
      <c r="E234" s="2">
        <v>2</v>
      </c>
      <c r="F234" s="2">
        <v>10.77</v>
      </c>
      <c r="G234" s="8">
        <v>1.47</v>
      </c>
      <c r="H234" s="2"/>
      <c r="I234" s="3">
        <v>0.75944339705833896</v>
      </c>
      <c r="J234" s="3">
        <f t="shared" si="27"/>
        <v>3.7183538040686311E-2</v>
      </c>
      <c r="K234" s="3">
        <f t="shared" si="28"/>
        <v>-7.3687758526173666E-2</v>
      </c>
      <c r="L234" s="3">
        <f t="shared" si="29"/>
        <v>8.8727762736486165E-2</v>
      </c>
      <c r="M234" s="3">
        <f t="shared" si="30"/>
        <v>-0.16049652843020407</v>
      </c>
      <c r="N234" s="3">
        <f t="shared" si="31"/>
        <v>0.34786623214719364</v>
      </c>
      <c r="O234" s="3">
        <f t="shared" si="32"/>
        <v>1.0164083050857322</v>
      </c>
      <c r="P234" s="8">
        <f t="shared" si="33"/>
        <v>2.0154449481120595</v>
      </c>
      <c r="Q234" s="2">
        <f t="shared" si="34"/>
        <v>-0.54544494811205957</v>
      </c>
      <c r="R234">
        <f t="shared" si="35"/>
        <v>0.29751019142096735</v>
      </c>
    </row>
    <row r="235" spans="1:18" x14ac:dyDescent="0.2">
      <c r="A235">
        <f>IF(tips!A235="Male",1,2)</f>
        <v>1</v>
      </c>
      <c r="B235">
        <f>IF(tips!B235="No",1,2)</f>
        <v>2</v>
      </c>
      <c r="C235">
        <f>IF(tips!D235="Dinner",1,2)</f>
        <v>1</v>
      </c>
      <c r="D235">
        <f>IF(tips!C235="Sun",1,IF(tips!C235="Fri",2,IF(tips!C235="Sat",3,IF(tips!C235="Thur",4))))</f>
        <v>3</v>
      </c>
      <c r="E235" s="2">
        <v>2</v>
      </c>
      <c r="F235" s="2">
        <v>15.53</v>
      </c>
      <c r="G235" s="8">
        <v>3</v>
      </c>
      <c r="H235" s="2"/>
      <c r="I235" s="3">
        <v>0.75944339705833896</v>
      </c>
      <c r="J235" s="3">
        <f t="shared" si="27"/>
        <v>3.7183538040686311E-2</v>
      </c>
      <c r="K235" s="3">
        <f t="shared" si="28"/>
        <v>-0.14737551705234733</v>
      </c>
      <c r="L235" s="3">
        <f t="shared" si="29"/>
        <v>8.8727762736486165E-2</v>
      </c>
      <c r="M235" s="3">
        <f t="shared" si="30"/>
        <v>-0.16049652843020407</v>
      </c>
      <c r="N235" s="3">
        <f t="shared" si="31"/>
        <v>0.34786623214719364</v>
      </c>
      <c r="O235" s="3">
        <f t="shared" si="32"/>
        <v>1.4656286887633632</v>
      </c>
      <c r="P235" s="8">
        <f t="shared" si="33"/>
        <v>2.390977573263517</v>
      </c>
      <c r="Q235" s="2">
        <f t="shared" si="34"/>
        <v>0.60902242673648299</v>
      </c>
      <c r="R235">
        <f t="shared" si="35"/>
        <v>0.37090831626799481</v>
      </c>
    </row>
    <row r="236" spans="1:18" x14ac:dyDescent="0.2">
      <c r="A236">
        <f>IF(tips!A236="Male",1,2)</f>
        <v>1</v>
      </c>
      <c r="B236">
        <f>IF(tips!B236="No",1,2)</f>
        <v>1</v>
      </c>
      <c r="C236">
        <f>IF(tips!D236="Dinner",1,2)</f>
        <v>1</v>
      </c>
      <c r="D236">
        <f>IF(tips!C236="Sun",1,IF(tips!C236="Fri",2,IF(tips!C236="Sat",3,IF(tips!C236="Thur",4))))</f>
        <v>3</v>
      </c>
      <c r="E236" s="2">
        <v>2</v>
      </c>
      <c r="F236" s="2">
        <v>10.07</v>
      </c>
      <c r="G236" s="8">
        <v>1.25</v>
      </c>
      <c r="H236" s="2"/>
      <c r="I236" s="3">
        <v>0.75944339705833896</v>
      </c>
      <c r="J236" s="3">
        <f t="shared" si="27"/>
        <v>3.7183538040686311E-2</v>
      </c>
      <c r="K236" s="3">
        <f t="shared" si="28"/>
        <v>-7.3687758526173666E-2</v>
      </c>
      <c r="L236" s="3">
        <f t="shared" si="29"/>
        <v>8.8727762736486165E-2</v>
      </c>
      <c r="M236" s="3">
        <f t="shared" si="30"/>
        <v>-0.16049652843020407</v>
      </c>
      <c r="N236" s="3">
        <f t="shared" si="31"/>
        <v>0.34786623214719364</v>
      </c>
      <c r="O236" s="3">
        <f t="shared" si="32"/>
        <v>0.95034648395666887</v>
      </c>
      <c r="P236" s="8">
        <f t="shared" si="33"/>
        <v>1.9493831269829962</v>
      </c>
      <c r="Q236" s="2">
        <f t="shared" si="34"/>
        <v>-0.69938312698299621</v>
      </c>
      <c r="R236">
        <f t="shared" si="35"/>
        <v>0.48913675830851377</v>
      </c>
    </row>
    <row r="237" spans="1:18" x14ac:dyDescent="0.2">
      <c r="A237">
        <f>IF(tips!A237="Male",1,2)</f>
        <v>1</v>
      </c>
      <c r="B237">
        <f>IF(tips!B237="No",1,2)</f>
        <v>2</v>
      </c>
      <c r="C237">
        <f>IF(tips!D237="Dinner",1,2)</f>
        <v>1</v>
      </c>
      <c r="D237">
        <f>IF(tips!C237="Sun",1,IF(tips!C237="Fri",2,IF(tips!C237="Sat",3,IF(tips!C237="Thur",4))))</f>
        <v>3</v>
      </c>
      <c r="E237" s="2">
        <v>2</v>
      </c>
      <c r="F237" s="2">
        <v>12.6</v>
      </c>
      <c r="G237" s="8">
        <v>1</v>
      </c>
      <c r="H237" s="2"/>
      <c r="I237" s="3">
        <v>0.75944339705833896</v>
      </c>
      <c r="J237" s="3">
        <f t="shared" si="27"/>
        <v>3.7183538040686311E-2</v>
      </c>
      <c r="K237" s="3">
        <f t="shared" si="28"/>
        <v>-0.14737551705234733</v>
      </c>
      <c r="L237" s="3">
        <f t="shared" si="29"/>
        <v>8.8727762736486165E-2</v>
      </c>
      <c r="M237" s="3">
        <f t="shared" si="30"/>
        <v>-0.16049652843020407</v>
      </c>
      <c r="N237" s="3">
        <f t="shared" si="31"/>
        <v>0.34786623214719364</v>
      </c>
      <c r="O237" s="3">
        <f t="shared" si="32"/>
        <v>1.1891127803231407</v>
      </c>
      <c r="P237" s="8">
        <f t="shared" si="33"/>
        <v>2.1144616648232946</v>
      </c>
      <c r="Q237" s="2">
        <f t="shared" si="34"/>
        <v>-1.1144616648232946</v>
      </c>
      <c r="R237">
        <f t="shared" si="35"/>
        <v>1.2420248023607094</v>
      </c>
    </row>
    <row r="238" spans="1:18" x14ac:dyDescent="0.2">
      <c r="A238">
        <f>IF(tips!A238="Male",1,2)</f>
        <v>1</v>
      </c>
      <c r="B238">
        <f>IF(tips!B238="No",1,2)</f>
        <v>2</v>
      </c>
      <c r="C238">
        <f>IF(tips!D238="Dinner",1,2)</f>
        <v>1</v>
      </c>
      <c r="D238">
        <f>IF(tips!C238="Sun",1,IF(tips!C238="Fri",2,IF(tips!C238="Sat",3,IF(tips!C238="Thur",4))))</f>
        <v>3</v>
      </c>
      <c r="E238" s="2">
        <v>2</v>
      </c>
      <c r="F238" s="2">
        <v>32.83</v>
      </c>
      <c r="G238" s="8">
        <v>1.17</v>
      </c>
      <c r="H238" s="2"/>
      <c r="I238" s="3">
        <v>0.75944339705833896</v>
      </c>
      <c r="J238" s="3">
        <f t="shared" si="27"/>
        <v>3.7183538040686311E-2</v>
      </c>
      <c r="K238" s="3">
        <f t="shared" si="28"/>
        <v>-0.14737551705234733</v>
      </c>
      <c r="L238" s="3">
        <f t="shared" si="29"/>
        <v>8.8727762736486165E-2</v>
      </c>
      <c r="M238" s="3">
        <f t="shared" si="30"/>
        <v>-0.16049652843020407</v>
      </c>
      <c r="N238" s="3">
        <f t="shared" si="31"/>
        <v>0.34786623214719364</v>
      </c>
      <c r="O238" s="3">
        <f t="shared" si="32"/>
        <v>3.0982994109530719</v>
      </c>
      <c r="P238" s="8">
        <f t="shared" si="33"/>
        <v>4.023648295453226</v>
      </c>
      <c r="Q238" s="2">
        <f t="shared" si="34"/>
        <v>-2.8536482954532261</v>
      </c>
      <c r="R238">
        <f t="shared" si="35"/>
        <v>8.143308594143102</v>
      </c>
    </row>
    <row r="239" spans="1:18" x14ac:dyDescent="0.2">
      <c r="A239">
        <f>IF(tips!A239="Male",1,2)</f>
        <v>2</v>
      </c>
      <c r="B239">
        <f>IF(tips!B239="No",1,2)</f>
        <v>1</v>
      </c>
      <c r="C239">
        <f>IF(tips!D239="Dinner",1,2)</f>
        <v>1</v>
      </c>
      <c r="D239">
        <f>IF(tips!C239="Sun",1,IF(tips!C239="Fri",2,IF(tips!C239="Sat",3,IF(tips!C239="Thur",4))))</f>
        <v>3</v>
      </c>
      <c r="E239" s="2">
        <v>3</v>
      </c>
      <c r="F239" s="2">
        <v>35.83</v>
      </c>
      <c r="G239" s="8">
        <v>4.67</v>
      </c>
      <c r="H239" s="2"/>
      <c r="I239" s="3">
        <v>0.75944339705833896</v>
      </c>
      <c r="J239" s="3">
        <f t="shared" si="27"/>
        <v>7.4367076081372621E-2</v>
      </c>
      <c r="K239" s="3">
        <f t="shared" si="28"/>
        <v>-7.3687758526173666E-2</v>
      </c>
      <c r="L239" s="3">
        <f t="shared" si="29"/>
        <v>8.8727762736486165E-2</v>
      </c>
      <c r="M239" s="3">
        <f t="shared" si="30"/>
        <v>-0.16049652843020407</v>
      </c>
      <c r="N239" s="3">
        <f t="shared" si="31"/>
        <v>0.52179934822079044</v>
      </c>
      <c r="O239" s="3">
        <f t="shared" si="32"/>
        <v>3.381421501506201</v>
      </c>
      <c r="P239" s="8">
        <f t="shared" si="33"/>
        <v>4.5915747986468114</v>
      </c>
      <c r="Q239" s="2">
        <f t="shared" si="34"/>
        <v>7.8425201353188534E-2</v>
      </c>
      <c r="R239">
        <f t="shared" si="35"/>
        <v>6.1505122072881644E-3</v>
      </c>
    </row>
    <row r="240" spans="1:18" x14ac:dyDescent="0.2">
      <c r="A240">
        <f>IF(tips!A240="Male",1,2)</f>
        <v>1</v>
      </c>
      <c r="B240">
        <f>IF(tips!B240="No",1,2)</f>
        <v>1</v>
      </c>
      <c r="C240">
        <f>IF(tips!D240="Dinner",1,2)</f>
        <v>1</v>
      </c>
      <c r="D240">
        <f>IF(tips!C240="Sun",1,IF(tips!C240="Fri",2,IF(tips!C240="Sat",3,IF(tips!C240="Thur",4))))</f>
        <v>3</v>
      </c>
      <c r="E240" s="2">
        <v>3</v>
      </c>
      <c r="F240" s="2">
        <v>29.03</v>
      </c>
      <c r="G240" s="8">
        <v>5.92</v>
      </c>
      <c r="H240" s="2"/>
      <c r="I240" s="3">
        <v>0.75944339705833896</v>
      </c>
      <c r="J240" s="3">
        <f t="shared" si="27"/>
        <v>3.7183538040686311E-2</v>
      </c>
      <c r="K240" s="3">
        <f t="shared" si="28"/>
        <v>-7.3687758526173666E-2</v>
      </c>
      <c r="L240" s="3">
        <f t="shared" si="29"/>
        <v>8.8727762736486165E-2</v>
      </c>
      <c r="M240" s="3">
        <f t="shared" si="30"/>
        <v>-0.16049652843020407</v>
      </c>
      <c r="N240" s="3">
        <f t="shared" si="31"/>
        <v>0.52179934822079044</v>
      </c>
      <c r="O240" s="3">
        <f t="shared" si="32"/>
        <v>2.7396780962524425</v>
      </c>
      <c r="P240" s="8">
        <f t="shared" si="33"/>
        <v>3.9126478553523665</v>
      </c>
      <c r="Q240" s="2">
        <f t="shared" si="34"/>
        <v>2.0073521446476335</v>
      </c>
      <c r="R240">
        <f t="shared" si="35"/>
        <v>4.0294626326214535</v>
      </c>
    </row>
    <row r="241" spans="1:18" x14ac:dyDescent="0.2">
      <c r="A241">
        <f>IF(tips!A241="Male",1,2)</f>
        <v>2</v>
      </c>
      <c r="B241">
        <f>IF(tips!B241="No",1,2)</f>
        <v>2</v>
      </c>
      <c r="C241">
        <f>IF(tips!D241="Dinner",1,2)</f>
        <v>1</v>
      </c>
      <c r="D241">
        <f>IF(tips!C241="Sun",1,IF(tips!C241="Fri",2,IF(tips!C241="Sat",3,IF(tips!C241="Thur",4))))</f>
        <v>3</v>
      </c>
      <c r="E241" s="2">
        <v>2</v>
      </c>
      <c r="F241" s="2">
        <v>27.18</v>
      </c>
      <c r="G241" s="8">
        <v>2</v>
      </c>
      <c r="H241" s="2"/>
      <c r="I241" s="3">
        <v>0.75944339705833896</v>
      </c>
      <c r="J241" s="3">
        <f t="shared" si="27"/>
        <v>7.4367076081372621E-2</v>
      </c>
      <c r="K241" s="3">
        <f t="shared" si="28"/>
        <v>-0.14737551705234733</v>
      </c>
      <c r="L241" s="3">
        <f t="shared" si="29"/>
        <v>8.8727762736486165E-2</v>
      </c>
      <c r="M241" s="3">
        <f t="shared" si="30"/>
        <v>-0.16049652843020407</v>
      </c>
      <c r="N241" s="3">
        <f t="shared" si="31"/>
        <v>0.34786623214719364</v>
      </c>
      <c r="O241" s="3">
        <f t="shared" si="32"/>
        <v>2.5650861404113465</v>
      </c>
      <c r="P241" s="8">
        <f t="shared" si="33"/>
        <v>3.5276185629521866</v>
      </c>
      <c r="Q241" s="2">
        <f t="shared" si="34"/>
        <v>-1.5276185629521866</v>
      </c>
      <c r="R241">
        <f t="shared" si="35"/>
        <v>2.3336184738761037</v>
      </c>
    </row>
    <row r="242" spans="1:18" x14ac:dyDescent="0.2">
      <c r="A242">
        <f>IF(tips!A242="Male",1,2)</f>
        <v>1</v>
      </c>
      <c r="B242">
        <f>IF(tips!B242="No",1,2)</f>
        <v>2</v>
      </c>
      <c r="C242">
        <f>IF(tips!D242="Dinner",1,2)</f>
        <v>1</v>
      </c>
      <c r="D242">
        <f>IF(tips!C242="Sun",1,IF(tips!C242="Fri",2,IF(tips!C242="Sat",3,IF(tips!C242="Thur",4))))</f>
        <v>3</v>
      </c>
      <c r="E242" s="2">
        <v>2</v>
      </c>
      <c r="F242" s="2">
        <v>22.67</v>
      </c>
      <c r="G242" s="8">
        <v>2</v>
      </c>
      <c r="H242" s="2"/>
      <c r="I242" s="3">
        <v>0.75944339705833896</v>
      </c>
      <c r="J242" s="3">
        <f t="shared" si="27"/>
        <v>3.7183538040686311E-2</v>
      </c>
      <c r="K242" s="3">
        <f t="shared" si="28"/>
        <v>-0.14737551705234733</v>
      </c>
      <c r="L242" s="3">
        <f t="shared" si="29"/>
        <v>8.8727762736486165E-2</v>
      </c>
      <c r="M242" s="3">
        <f t="shared" si="30"/>
        <v>-0.16049652843020407</v>
      </c>
      <c r="N242" s="3">
        <f t="shared" si="31"/>
        <v>0.34786623214719364</v>
      </c>
      <c r="O242" s="3">
        <f t="shared" si="32"/>
        <v>2.1394592642798096</v>
      </c>
      <c r="P242" s="8">
        <f t="shared" si="33"/>
        <v>3.0648081487799637</v>
      </c>
      <c r="Q242" s="2">
        <f t="shared" si="34"/>
        <v>-1.0648081487799637</v>
      </c>
      <c r="R242">
        <f t="shared" si="35"/>
        <v>1.1338163937082133</v>
      </c>
    </row>
    <row r="243" spans="1:18" x14ac:dyDescent="0.2">
      <c r="A243">
        <f>IF(tips!A243="Male",1,2)</f>
        <v>1</v>
      </c>
      <c r="B243">
        <f>IF(tips!B243="No",1,2)</f>
        <v>1</v>
      </c>
      <c r="C243">
        <f>IF(tips!D243="Dinner",1,2)</f>
        <v>1</v>
      </c>
      <c r="D243">
        <f>IF(tips!C243="Sun",1,IF(tips!C243="Fri",2,IF(tips!C243="Sat",3,IF(tips!C243="Thur",4))))</f>
        <v>3</v>
      </c>
      <c r="E243" s="2">
        <v>2</v>
      </c>
      <c r="F243" s="2">
        <v>17.82</v>
      </c>
      <c r="G243" s="8">
        <v>1.75</v>
      </c>
      <c r="H243" s="2"/>
      <c r="I243" s="3">
        <v>0.75944339705833896</v>
      </c>
      <c r="J243" s="3">
        <f t="shared" si="27"/>
        <v>3.7183538040686311E-2</v>
      </c>
      <c r="K243" s="3">
        <f t="shared" si="28"/>
        <v>-7.3687758526173666E-2</v>
      </c>
      <c r="L243" s="3">
        <f t="shared" si="29"/>
        <v>8.8727762736486165E-2</v>
      </c>
      <c r="M243" s="3">
        <f t="shared" si="30"/>
        <v>-0.16049652843020407</v>
      </c>
      <c r="N243" s="3">
        <f t="shared" si="31"/>
        <v>0.34786623214719364</v>
      </c>
      <c r="O243" s="3">
        <f t="shared" si="32"/>
        <v>1.6817452178855847</v>
      </c>
      <c r="P243" s="8">
        <f t="shared" si="33"/>
        <v>2.6807818609119121</v>
      </c>
      <c r="Q243" s="2">
        <f t="shared" si="34"/>
        <v>-0.93078186091191206</v>
      </c>
      <c r="R243">
        <f t="shared" si="35"/>
        <v>0.86635487260264199</v>
      </c>
    </row>
    <row r="244" spans="1:18" x14ac:dyDescent="0.2">
      <c r="A244">
        <f>IF(tips!A244="Male",1,2)</f>
        <v>2</v>
      </c>
      <c r="B244">
        <f>IF(tips!B244="No",1,2)</f>
        <v>1</v>
      </c>
      <c r="C244">
        <f>IF(tips!D244="Dinner",1,2)</f>
        <v>1</v>
      </c>
      <c r="D244">
        <f>IF(tips!C244="Sun",1,IF(tips!C244="Fri",2,IF(tips!C244="Sat",3,IF(tips!C244="Thur",4))))</f>
        <v>4</v>
      </c>
      <c r="E244" s="2">
        <v>2</v>
      </c>
      <c r="F244" s="2">
        <v>18.78</v>
      </c>
      <c r="G244" s="8">
        <v>3</v>
      </c>
      <c r="H244" s="2"/>
      <c r="I244" s="3">
        <v>0.75944339705833896</v>
      </c>
      <c r="J244" s="3">
        <f t="shared" si="27"/>
        <v>7.4367076081372621E-2</v>
      </c>
      <c r="K244" s="3">
        <f t="shared" si="28"/>
        <v>-7.3687758526173666E-2</v>
      </c>
      <c r="L244" s="3">
        <f t="shared" si="29"/>
        <v>8.8727762736486165E-2</v>
      </c>
      <c r="M244" s="3">
        <f t="shared" si="30"/>
        <v>-0.2139953712402721</v>
      </c>
      <c r="N244" s="3">
        <f t="shared" si="31"/>
        <v>0.34786623214719364</v>
      </c>
      <c r="O244" s="3">
        <f t="shared" si="32"/>
        <v>1.772344286862586</v>
      </c>
      <c r="P244" s="8">
        <f t="shared" si="33"/>
        <v>2.7550656251195313</v>
      </c>
      <c r="Q244" s="2">
        <f t="shared" si="34"/>
        <v>0.24493437488046865</v>
      </c>
      <c r="R244">
        <f t="shared" si="35"/>
        <v>5.9992847998085956E-2</v>
      </c>
    </row>
    <row r="245" spans="1:18" x14ac:dyDescent="0.2">
      <c r="A245">
        <f>CORREL(A2:A244,$G$2:$G$244)</f>
        <v>-8.5273975201494628E-2</v>
      </c>
      <c r="B245">
        <f>CORREL(B2:B244,$G$2:$G$244)</f>
        <v>9.7627499908010222E-3</v>
      </c>
      <c r="C245">
        <f t="shared" ref="C245:F245" si="36">CORREL(C2:C244,$G$2:$G$244)</f>
        <v>-0.117596390271059</v>
      </c>
      <c r="D245">
        <f t="shared" si="36"/>
        <v>-0.11843030099970935</v>
      </c>
      <c r="E245">
        <f t="shared" si="36"/>
        <v>0.48840039467488378</v>
      </c>
      <c r="F245">
        <f t="shared" si="36"/>
        <v>0.6749978565456074</v>
      </c>
      <c r="P245" s="8">
        <f>SUM(P1:P244)</f>
        <v>729.58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tips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Skanan 1997</cp:lastModifiedBy>
  <cp:revision/>
  <dcterms:created xsi:type="dcterms:W3CDTF">2021-10-26T16:10:41Z</dcterms:created>
  <dcterms:modified xsi:type="dcterms:W3CDTF">2025-02-23T12:59:26Z</dcterms:modified>
  <cp:category/>
  <cp:contentStatus/>
</cp:coreProperties>
</file>